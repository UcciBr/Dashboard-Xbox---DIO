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8_{FE5B9748-82EB-4E91-B617-2A27F1A1D603}" xr6:coauthVersionLast="36" xr6:coauthVersionMax="36" xr10:uidLastSave="{00000000-0000-0000-0000-000000000000}"/>
  <bookViews>
    <workbookView xWindow="0" yWindow="0" windowWidth="23040" windowHeight="9648" tabRatio="30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79021"/>
  <pivotCaches>
    <pivotCache cacheId="1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4" i="3" l="1"/>
  <c r="E23" i="3"/>
</calcChain>
</file>

<file path=xl/sharedStrings.xml><?xml version="1.0" encoding="utf-8"?>
<sst xmlns="http://schemas.openxmlformats.org/spreadsheetml/2006/main" count="2018" uniqueCount="320">
  <si>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</si>
  <si>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</si>
  <si>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</si>
  <si>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</si>
  <si>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</si>
  <si>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</si>
  <si>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</si>
  <si>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</si>
  <si>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</si>
  <si>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</si>
  <si>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</si>
  <si>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</si>
  <si>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</si>
  <si>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</si>
  <si>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</si>
  <si>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</si>
  <si>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</si>
  <si>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</si>
  <si>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</si>
  <si>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</si>
  <si>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</si>
  <si>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</si>
  <si>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</si>
  <si>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</si>
  <si>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</si>
  <si>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</si>
  <si>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</si>
  <si>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</si>
  <si>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</si>
  <si>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</si>
  <si>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</si>
  <si>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</si>
  <si>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</si>
  <si>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</si>
  <si>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</si>
  <si>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</si>
  <si>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</si>
  <si>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</si>
  <si>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</si>
  <si>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</si>
  <si>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</si>
  <si>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</si>
  <si>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</si>
  <si>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</si>
  <si>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</si>
  <si>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</si>
  <si>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</si>
  <si>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</si>
  <si>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</si>
  <si>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</si>
  <si>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</si>
  <si>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</si>
  <si>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</si>
  <si>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</si>
  <si>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</si>
  <si>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</si>
  <si>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</si>
  <si>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</si>
  <si>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</si>
  <si>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</si>
  <si>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</si>
  <si>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</si>
  <si>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</si>
  <si>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</si>
  <si>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</si>
  <si>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</si>
  <si>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</si>
  <si>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</si>
  <si>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</si>
  <si>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</si>
  <si>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</si>
  <si>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</si>
  <si>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</si>
  <si>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</si>
  <si>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</si>
  <si>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</si>
  <si>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</si>
  <si>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</si>
  <si>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</si>
  <si>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</si>
  <si>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</si>
  <si>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</si>
  <si>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</si>
  <si>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</si>
  <si>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</si>
  <si>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</si>
  <si>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</si>
  <si>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</si>
  <si>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</si>
  <si>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</si>
  <si>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</si>
  <si>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</si>
  <si>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</si>
  <si>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</si>
  <si>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</si>
  <si>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</si>
  <si>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</si>
  <si>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</si>
  <si>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</si>
  <si>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</si>
  <si>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</si>
  <si>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</si>
  <si>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</si>
  <si>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</si>
  <si>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</si>
  <si>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</si>
  <si>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</si>
  <si>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</si>
  <si>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</si>
  <si>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</si>
  <si>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</si>
  <si>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</si>
  <si>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</si>
  <si>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</si>
  <si>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</si>
  <si>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</si>
  <si>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</si>
  <si>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</si>
  <si>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</si>
  <si>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</si>
  <si>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</si>
  <si>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</si>
  <si>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</si>
  <si>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</si>
  <si>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</si>
  <si>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</si>
  <si>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</si>
  <si>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</si>
  <si>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</si>
  <si>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</si>
  <si>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</si>
  <si>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</si>
  <si>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</si>
  <si>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</si>
  <si>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</si>
  <si>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</si>
  <si>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</si>
  <si>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</si>
  <si>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</si>
  <si>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</si>
  <si>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</si>
  <si>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</si>
  <si>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</si>
  <si>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</si>
  <si>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</si>
  <si>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</si>
  <si>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</si>
  <si>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</si>
  <si>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</si>
  <si>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</si>
  <si>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</si>
  <si>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</si>
  <si>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</si>
  <si>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</si>
  <si>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</si>
  <si>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</si>
  <si>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</si>
  <si>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</si>
  <si>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</si>
  <si>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</si>
  <si>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</si>
  <si>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</si>
  <si>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</si>
  <si>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</si>
  <si>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</si>
  <si>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</si>
  <si>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</si>
  <si>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</si>
  <si>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</si>
  <si>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</si>
  <si>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</si>
  <si>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</si>
  <si>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</si>
  <si>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</si>
  <si>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</si>
  <si>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</si>
  <si>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</si>
  <si>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</si>
  <si>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</si>
  <si>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</si>
  <si>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</si>
  <si>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</si>
  <si>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</si>
  <si>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</si>
  <si>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</si>
  <si>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</si>
  <si>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</si>
  <si>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</si>
  <si>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</si>
  <si>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</si>
  <si>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</si>
  <si>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</si>
  <si>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</si>
  <si>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</si>
  <si>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</si>
  <si>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</si>
  <si>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</si>
  <si>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</si>
  <si>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</si>
  <si>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</si>
  <si>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</si>
  <si>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</si>
  <si>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</si>
  <si>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</si>
  <si>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</si>
  <si>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</si>
  <si>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</si>
  <si>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</si>
  <si>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</si>
  <si>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</si>
  <si>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</si>
  <si>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</si>
  <si>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</si>
  <si>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</si>
  <si>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</si>
  <si>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</si>
  <si>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</si>
  <si>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</si>
  <si>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</si>
  <si>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</si>
  <si>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</si>
  <si>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</si>
  <si>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</si>
  <si>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</si>
  <si>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</si>
  <si>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</si>
  <si>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</si>
  <si>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</si>
  <si>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</si>
  <si>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</si>
  <si>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</si>
  <si>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</si>
  <si>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</si>
  <si>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</si>
  <si>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</si>
  <si>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</si>
  <si>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</si>
  <si>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</si>
  <si>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</si>
  <si>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</si>
  <si>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</si>
  <si>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</si>
  <si>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</si>
  <si>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</si>
  <si>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</si>
  <si>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</si>
  <si>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</si>
  <si>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</si>
  <si>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</si>
  <si>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</si>
  <si>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</si>
  <si>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</si>
  <si>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</si>
  <si>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</si>
  <si>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</si>
  <si>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</si>
  <si>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</si>
  <si>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</si>
  <si>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</si>
  <si>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</si>
  <si>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</si>
  <si>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</si>
  <si>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</si>
  <si>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</si>
  <si>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</si>
  <si>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</si>
  <si>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</si>
  <si>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</si>
  <si>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</si>
  <si>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</si>
  <si>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</si>
  <si>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</si>
  <si>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</si>
  <si>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</si>
  <si>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</si>
  <si>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</si>
  <si>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</si>
  <si>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</si>
  <si>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</si>
  <si>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</si>
  <si>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</si>
  <si>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</si>
  <si>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</si>
  <si>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</si>
  <si>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</si>
  <si>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</si>
  <si>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</si>
  <si>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</si>
  <si>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</si>
  <si>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</si>
  <si>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</si>
  <si>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</si>
  <si>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</si>
  <si>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</si>
  <si>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</si>
  <si>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</si>
  <si>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</si>
  <si>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</si>
  <si>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</si>
  <si>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</si>
  <si>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</si>
  <si>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</si>
  <si>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</si>
  <si>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</si>
  <si>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</si>
  <si>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</si>
  <si>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</si>
  <si>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</si>
  <si>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</si>
  <si>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</si>
  <si>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</si>
  <si>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</si>
  <si>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</si>
  <si>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</si>
  <si>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</si>
  <si>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</si>
  <si>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X-BOX GAME PASS SUBSCRIPTIONS SALES</t>
  </si>
  <si>
    <t>Soma de EA Play Season Pass
Price</t>
  </si>
  <si>
    <t>Soma de Minecraft Season Pass Price</t>
  </si>
  <si>
    <t>Período de apuração: 01/01/2024 - 31/12/2024 | Update date: 17/05/2026 19:39:00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</si>
</sst>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b/>
      <sz val="36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9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Fill="1"/>
    <xf numFmtId="0" fontId="4" fillId="0" borderId="0" xfId="0" applyFont="1" applyFill="1"/>
    <xf numFmtId="0" fontId="0" fillId="8" borderId="0" xfId="0" applyFill="1"/>
    <xf numFmtId="0" fontId="5" fillId="0" borderId="2" xfId="1" applyFont="1" applyFill="1" applyBorder="1" applyAlignment="1">
      <alignment horizontal="center" vertical="center"/>
    </xf>
  </cellXfs>
  <cellStyles count="3">
    <cellStyle name="Moeda" xfId="2" builtinId="4"/>
    <cellStyle name="Normal" xfId="0" builtinId="0"/>
    <cellStyle name="Título 1" xfId="1" builtinId="16"/>
  </cellStyles>
  <dxfs count="29"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font>
        <b/>
        <i val="0"/>
        <color theme="0"/>
      </font>
    </dxf>
    <dxf>
      <font>
        <color theme="1"/>
      </font>
      <fill>
        <patternFill>
          <fgColor rgb="FF22C55E"/>
          <bgColor rgb="FF00B050"/>
        </patternFill>
      </fill>
      <border diagonalUp="0" diagonalDown="0">
        <left/>
        <right/>
        <top/>
        <bottom/>
        <vertical/>
        <horizontal/>
      </border>
    </dxf>
    <dxf>
      <font>
        <color rgb="FF22C55E"/>
      </font>
      <fill>
        <patternFill>
          <fgColor rgb="FF22C55E"/>
          <bgColor rgb="FF00B050"/>
        </patternFill>
      </fill>
    </dxf>
    <dxf>
      <font>
        <color rgb="FF22C55E"/>
      </font>
    </dxf>
    <dxf>
      <font>
        <b/>
        <i val="0"/>
        <color theme="0"/>
      </font>
    </dxf>
    <dxf>
      <font>
        <b/>
        <i val="0"/>
        <color theme="0"/>
      </font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5" defaultTableStyle="TableStyleMedium2" defaultPivotStyle="PivotStyleLight16">
    <tableStyle name="Estilo de Segmentação de Dados 1" pivot="0" table="0" count="1" xr9:uid="{FD6848B5-E44B-4DC7-876E-D8BB0323CFD6}">
      <tableStyleElement type="headerRow" dxfId="14"/>
    </tableStyle>
    <tableStyle name="Estilo de Segmentação de Dados 2" pivot="0" table="0" count="1" xr9:uid="{9A53D962-E0F7-432D-81F5-E53F08CC4E45}">
      <tableStyleElement type="headerRow" dxfId="13"/>
    </tableStyle>
    <tableStyle name="Estilo de Segmentação de Dados 3" pivot="0" table="0" count="1" xr9:uid="{20CBB6A2-4906-455E-9AE0-7A9B400AED18}">
      <tableStyleElement type="wholeTable" dxfId="12"/>
    </tableStyle>
    <tableStyle name="Estilo de Segmentação de Dados 4" pivot="0" table="0" count="1" xr9:uid="{04AB9B0B-255A-4538-8F20-D0BD242204CF}">
      <tableStyleElement type="wholeTable" dxfId="11"/>
    </tableStyle>
    <tableStyle name="SlicerStyleLight6 2" pivot="0" table="0" count="10" xr9:uid="{EB737ADC-E00D-4AA6-BCE4-EB8D010EAE00}">
      <tableStyleElement type="wholeTable" dxfId="10"/>
      <tableStyleElement type="headerRow" dxfId="9"/>
    </tableStyle>
  </tableStyles>
  <colors>
    <mruColors>
      <color rgb="FF00B050"/>
      <color rgb="FF2AE6B1"/>
      <color rgb="FF22C55E"/>
      <color rgb="FF5BF6A8"/>
      <color rgb="FFE8E6E9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Estilo de Segmentação de Dados 4">
        <x14:slicerStyle name="Estilo de Segmentação de Dados 1"/>
        <x14:slicerStyle name="Estilo de Segmentação de Dados 2"/>
        <x14:slicerStyle name="Estilo de Segmentação de Dados 3"/>
        <x14:slicerStyle name="Estilo de Segmentação de Dados 4"/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Dio Andre.xlsx]C̳álculos!tbl_annual_total</c:name>
    <c:fmtId val="6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920953087617807E-2"/>
                  <c:h val="0.12107385668348929"/>
                </c:manualLayout>
              </c15:layout>
            </c:ext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47480745621269"/>
                  <c:h val="0.12107385668348929"/>
                </c:manualLayout>
              </c15:layout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920953087617807E-2"/>
                      <c:h val="0.121073856683489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34B-46C1-B39F-4AC7DAC0DF63}"/>
                </c:ext>
              </c:extLst>
            </c:dLbl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47480745621269"/>
                      <c:h val="0.121073856683489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134B-46C1-B39F-4AC7DAC0DF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"R$"\ 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4B-46C1-B39F-4AC7DAC0D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8627263"/>
        <c:axId val="2064974847"/>
      </c:barChart>
      <c:catAx>
        <c:axId val="1948627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4974847"/>
        <c:crosses val="autoZero"/>
        <c:auto val="1"/>
        <c:lblAlgn val="ctr"/>
        <c:lblOffset val="100"/>
        <c:noMultiLvlLbl val="0"/>
      </c:catAx>
      <c:valAx>
        <c:axId val="2064974847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948627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6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18235" y="5227319"/>
          <a:ext cx="1732356" cy="69151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400050</xdr:rowOff>
    </xdr:from>
    <xdr:to>
      <xdr:col>0</xdr:col>
      <xdr:colOff>2324100</xdr:colOff>
      <xdr:row>22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99599D60-F046-4245-975B-D1CE00CE58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428875"/>
              <a:ext cx="23241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175259</xdr:colOff>
      <xdr:row>0</xdr:row>
      <xdr:rowOff>167640</xdr:rowOff>
    </xdr:from>
    <xdr:to>
      <xdr:col>3</xdr:col>
      <xdr:colOff>536750</xdr:colOff>
      <xdr:row>2</xdr:row>
      <xdr:rowOff>30480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5C28142-F5CB-4400-971A-19F42FFBF4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61" t="21432" r="72537" b="21729"/>
        <a:stretch/>
      </xdr:blipFill>
      <xdr:spPr>
        <a:xfrm>
          <a:off x="2796539" y="167640"/>
          <a:ext cx="1032051" cy="960120"/>
        </a:xfrm>
        <a:prstGeom prst="rect">
          <a:avLst/>
        </a:prstGeom>
      </xdr:spPr>
    </xdr:pic>
    <xdr:clientData/>
  </xdr:twoCellAnchor>
  <xdr:twoCellAnchor>
    <xdr:from>
      <xdr:col>1</xdr:col>
      <xdr:colOff>171451</xdr:colOff>
      <xdr:row>18</xdr:row>
      <xdr:rowOff>47625</xdr:rowOff>
    </xdr:from>
    <xdr:to>
      <xdr:col>21</xdr:col>
      <xdr:colOff>180975</xdr:colOff>
      <xdr:row>38</xdr:row>
      <xdr:rowOff>133350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7A04F49A-A537-4768-B1AF-5B95030DFC75}"/>
            </a:ext>
          </a:extLst>
        </xdr:cNvPr>
        <xdr:cNvGrpSpPr/>
      </xdr:nvGrpSpPr>
      <xdr:grpSpPr>
        <a:xfrm>
          <a:off x="2514601" y="4210050"/>
          <a:ext cx="12792074" cy="3514725"/>
          <a:chOff x="1926398" y="2252830"/>
          <a:chExt cx="4819650" cy="2981325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9983FF7B-B10B-437C-BCC8-91F54F9EA084}"/>
              </a:ext>
            </a:extLst>
          </xdr:cNvPr>
          <xdr:cNvSpPr/>
        </xdr:nvSpPr>
        <xdr:spPr>
          <a:xfrm>
            <a:off x="1926398" y="2252830"/>
            <a:ext cx="4819650" cy="2981325"/>
          </a:xfrm>
          <a:prstGeom prst="roundRect">
            <a:avLst>
              <a:gd name="adj" fmla="val 995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E97CA2EE-ACC9-41D2-87D6-8D4CBBA4CBCE}"/>
              </a:ext>
            </a:extLst>
          </xdr:cNvPr>
          <xdr:cNvGraphicFramePr>
            <a:graphicFrameLocks/>
          </xdr:cNvGraphicFramePr>
        </xdr:nvGraphicFramePr>
        <xdr:xfrm>
          <a:off x="1998172" y="2673690"/>
          <a:ext cx="4726344" cy="24392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1</xdr:col>
      <xdr:colOff>219075</xdr:colOff>
      <xdr:row>5</xdr:row>
      <xdr:rowOff>95250</xdr:rowOff>
    </xdr:from>
    <xdr:to>
      <xdr:col>10</xdr:col>
      <xdr:colOff>590550</xdr:colOff>
      <xdr:row>15</xdr:row>
      <xdr:rowOff>9525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1BA73E83-624A-4A05-A1EA-D5874CBC3755}"/>
            </a:ext>
          </a:extLst>
        </xdr:cNvPr>
        <xdr:cNvSpPr/>
      </xdr:nvSpPr>
      <xdr:spPr>
        <a:xfrm>
          <a:off x="2562225" y="1866900"/>
          <a:ext cx="5981700" cy="1790700"/>
        </a:xfrm>
        <a:prstGeom prst="roundRect">
          <a:avLst>
            <a:gd name="adj" fmla="val 11348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90487</xdr:colOff>
      <xdr:row>7</xdr:row>
      <xdr:rowOff>219075</xdr:rowOff>
    </xdr:from>
    <xdr:to>
      <xdr:col>10</xdr:col>
      <xdr:colOff>500062</xdr:colOff>
      <xdr:row>14</xdr:row>
      <xdr:rowOff>114300</xdr:rowOff>
    </xdr:to>
    <xdr:sp macro="" textlink="C̳álculos!E23">
      <xdr:nvSpPr>
        <xdr:cNvPr id="10" name="Retângulo: Cantos Arredondados 9">
          <a:extLst>
            <a:ext uri="{FF2B5EF4-FFF2-40B4-BE49-F238E27FC236}">
              <a16:creationId xmlns:a16="http://schemas.microsoft.com/office/drawing/2014/main" id="{E149BC83-3BC2-4DF7-ABC2-1C8D5664135F}"/>
            </a:ext>
          </a:extLst>
        </xdr:cNvPr>
        <xdr:cNvSpPr/>
      </xdr:nvSpPr>
      <xdr:spPr>
        <a:xfrm>
          <a:off x="4043362" y="2247900"/>
          <a:ext cx="4410075" cy="1343025"/>
        </a:xfrm>
        <a:prstGeom prst="roundRect">
          <a:avLst>
            <a:gd name="adj" fmla="val 11348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424F04A-8E4E-4265-893E-4137FEF37620}" type="TxLink">
            <a:rPr lang="en-US" sz="5400" b="0" i="0" u="none" strike="noStrike">
              <a:solidFill>
                <a:srgbClr val="000000"/>
              </a:solidFill>
              <a:latin typeface="Aptos Narrow"/>
            </a:rPr>
            <a:pPr algn="ctr"/>
            <a:t>R$ 600,00</a:t>
          </a:fld>
          <a:endParaRPr lang="pt-BR" sz="5400"/>
        </a:p>
      </xdr:txBody>
    </xdr:sp>
    <xdr:clientData/>
  </xdr:twoCellAnchor>
  <xdr:twoCellAnchor editAs="oneCell">
    <xdr:from>
      <xdr:col>2</xdr:col>
      <xdr:colOff>81914</xdr:colOff>
      <xdr:row>7</xdr:row>
      <xdr:rowOff>359092</xdr:rowOff>
    </xdr:from>
    <xdr:to>
      <xdr:col>4</xdr:col>
      <xdr:colOff>89534</xdr:colOff>
      <xdr:row>14</xdr:row>
      <xdr:rowOff>31432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8BD2D7AF-CA8F-4341-95BB-BF9DB547C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1289" y="2387917"/>
          <a:ext cx="1341120" cy="1120140"/>
        </a:xfrm>
        <a:prstGeom prst="rect">
          <a:avLst/>
        </a:prstGeom>
      </xdr:spPr>
    </xdr:pic>
    <xdr:clientData/>
  </xdr:twoCellAnchor>
  <xdr:twoCellAnchor>
    <xdr:from>
      <xdr:col>1</xdr:col>
      <xdr:colOff>219076</xdr:colOff>
      <xdr:row>5</xdr:row>
      <xdr:rowOff>66675</xdr:rowOff>
    </xdr:from>
    <xdr:to>
      <xdr:col>10</xdr:col>
      <xdr:colOff>590550</xdr:colOff>
      <xdr:row>7</xdr:row>
      <xdr:rowOff>219075</xdr:rowOff>
    </xdr:to>
    <xdr:sp macro="" textlink="">
      <xdr:nvSpPr>
        <xdr:cNvPr id="13" name="Retângulo: Cantos Superiores Arredondados 12">
          <a:extLst>
            <a:ext uri="{FF2B5EF4-FFF2-40B4-BE49-F238E27FC236}">
              <a16:creationId xmlns:a16="http://schemas.microsoft.com/office/drawing/2014/main" id="{C6E4E21E-3AAB-4409-BAEE-DA653DCAB693}"/>
            </a:ext>
          </a:extLst>
        </xdr:cNvPr>
        <xdr:cNvSpPr/>
      </xdr:nvSpPr>
      <xdr:spPr>
        <a:xfrm>
          <a:off x="2562226" y="1838325"/>
          <a:ext cx="5981699" cy="409575"/>
        </a:xfrm>
        <a:prstGeom prst="round2Same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TOTAL SUBSCRIPTION</a:t>
          </a:r>
          <a:r>
            <a:rPr lang="pt-BR" sz="1800" b="1" baseline="0">
              <a:latin typeface="Segoe UI" panose="020B0502040204020203" pitchFamily="34" charset="0"/>
              <a:cs typeface="Segoe UI" panose="020B0502040204020203" pitchFamily="34" charset="0"/>
            </a:rPr>
            <a:t> EA PLAY SEASON PASS</a:t>
          </a:r>
          <a:endParaRPr lang="pt-BR" sz="18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12</xdr:col>
      <xdr:colOff>180975</xdr:colOff>
      <xdr:row>5</xdr:row>
      <xdr:rowOff>85725</xdr:rowOff>
    </xdr:from>
    <xdr:to>
      <xdr:col>21</xdr:col>
      <xdr:colOff>161925</xdr:colOff>
      <xdr:row>15</xdr:row>
      <xdr:rowOff>0</xdr:rowOff>
    </xdr:to>
    <xdr:sp macro="" textlink="">
      <xdr:nvSpPr>
        <xdr:cNvPr id="14" name="Retângulo: Cantos Arredondados 13">
          <a:extLst>
            <a:ext uri="{FF2B5EF4-FFF2-40B4-BE49-F238E27FC236}">
              <a16:creationId xmlns:a16="http://schemas.microsoft.com/office/drawing/2014/main" id="{D5BDD779-8944-434B-ADFB-3F6D5165962E}"/>
            </a:ext>
          </a:extLst>
        </xdr:cNvPr>
        <xdr:cNvSpPr/>
      </xdr:nvSpPr>
      <xdr:spPr>
        <a:xfrm>
          <a:off x="9305925" y="1857375"/>
          <a:ext cx="5981700" cy="1790700"/>
        </a:xfrm>
        <a:prstGeom prst="roundRect">
          <a:avLst>
            <a:gd name="adj" fmla="val 11348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395287</xdr:colOff>
      <xdr:row>7</xdr:row>
      <xdr:rowOff>209550</xdr:rowOff>
    </xdr:from>
    <xdr:to>
      <xdr:col>21</xdr:col>
      <xdr:colOff>138112</xdr:colOff>
      <xdr:row>14</xdr:row>
      <xdr:rowOff>104775</xdr:rowOff>
    </xdr:to>
    <xdr:sp macro="" textlink="C̳álculos!E34">
      <xdr:nvSpPr>
        <xdr:cNvPr id="15" name="Retângulo: Cantos Arredondados 14">
          <a:extLst>
            <a:ext uri="{FF2B5EF4-FFF2-40B4-BE49-F238E27FC236}">
              <a16:creationId xmlns:a16="http://schemas.microsoft.com/office/drawing/2014/main" id="{6E0E8879-B4CA-4C80-B573-53BFB6E38B4F}"/>
            </a:ext>
          </a:extLst>
        </xdr:cNvPr>
        <xdr:cNvSpPr/>
      </xdr:nvSpPr>
      <xdr:spPr>
        <a:xfrm>
          <a:off x="10853737" y="2238375"/>
          <a:ext cx="4410075" cy="1343025"/>
        </a:xfrm>
        <a:prstGeom prst="roundRect">
          <a:avLst>
            <a:gd name="adj" fmla="val 11348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3D0CF91-D660-4BD5-B7CC-BBFCB3A1CD35}" type="TxLink">
            <a:rPr lang="en-US" sz="54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R$ 940,00</a:t>
          </a:fld>
          <a:endParaRPr lang="pt-BR" sz="54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180976</xdr:colOff>
      <xdr:row>5</xdr:row>
      <xdr:rowOff>57150</xdr:rowOff>
    </xdr:from>
    <xdr:to>
      <xdr:col>21</xdr:col>
      <xdr:colOff>161925</xdr:colOff>
      <xdr:row>7</xdr:row>
      <xdr:rowOff>209550</xdr:rowOff>
    </xdr:to>
    <xdr:sp macro="" textlink="">
      <xdr:nvSpPr>
        <xdr:cNvPr id="17" name="Retângulo: Cantos Superiores Arredondados 16">
          <a:extLst>
            <a:ext uri="{FF2B5EF4-FFF2-40B4-BE49-F238E27FC236}">
              <a16:creationId xmlns:a16="http://schemas.microsoft.com/office/drawing/2014/main" id="{04B3E80D-FA4E-4339-A3AE-5C589EBED3DB}"/>
            </a:ext>
          </a:extLst>
        </xdr:cNvPr>
        <xdr:cNvSpPr/>
      </xdr:nvSpPr>
      <xdr:spPr>
        <a:xfrm>
          <a:off x="9305926" y="1828800"/>
          <a:ext cx="5981699" cy="409575"/>
        </a:xfrm>
        <a:prstGeom prst="round2Same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TOTAL SUBSCRIPTION</a:t>
          </a:r>
          <a:r>
            <a:rPr lang="pt-BR" sz="1800" b="1" baseline="0">
              <a:latin typeface="Segoe UI" panose="020B0502040204020203" pitchFamily="34" charset="0"/>
              <a:cs typeface="Segoe UI" panose="020B0502040204020203" pitchFamily="34" charset="0"/>
            </a:rPr>
            <a:t> MINECRAFT SEASON PASS</a:t>
          </a:r>
          <a:endParaRPr lang="pt-BR" sz="18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12</xdr:col>
      <xdr:colOff>447675</xdr:colOff>
      <xdr:row>8</xdr:row>
      <xdr:rowOff>161924</xdr:rowOff>
    </xdr:from>
    <xdr:to>
      <xdr:col>14</xdr:col>
      <xdr:colOff>561975</xdr:colOff>
      <xdr:row>12</xdr:row>
      <xdr:rowOff>43815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A9617EC2-F3AF-4B3A-9BBD-1ABA16F643D7}"/>
            </a:ext>
          </a:extLst>
        </xdr:cNvPr>
        <xdr:cNvGrpSpPr/>
      </xdr:nvGrpSpPr>
      <xdr:grpSpPr>
        <a:xfrm>
          <a:off x="9572625" y="2609849"/>
          <a:ext cx="1447800" cy="567691"/>
          <a:chOff x="3495675" y="5400674"/>
          <a:chExt cx="1549476" cy="752476"/>
        </a:xfrm>
      </xdr:grpSpPr>
      <xdr:pic>
        <xdr:nvPicPr>
          <xdr:cNvPr id="19" name="Imagem 18">
            <a:extLst>
              <a:ext uri="{FF2B5EF4-FFF2-40B4-BE49-F238E27FC236}">
                <a16:creationId xmlns:a16="http://schemas.microsoft.com/office/drawing/2014/main" id="{9A8512DA-E189-4E24-AF78-52621638DE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0" name="Gráfico 19">
            <a:extLst>
              <a:ext uri="{FF2B5EF4-FFF2-40B4-BE49-F238E27FC236}">
                <a16:creationId xmlns:a16="http://schemas.microsoft.com/office/drawing/2014/main" id="{9D21E39C-5270-4C40-A9AB-54E0CB9693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152400</xdr:colOff>
      <xdr:row>17</xdr:row>
      <xdr:rowOff>133350</xdr:rowOff>
    </xdr:from>
    <xdr:to>
      <xdr:col>21</xdr:col>
      <xdr:colOff>180975</xdr:colOff>
      <xdr:row>20</xdr:row>
      <xdr:rowOff>28575</xdr:rowOff>
    </xdr:to>
    <xdr:sp macro="" textlink="">
      <xdr:nvSpPr>
        <xdr:cNvPr id="27" name="Retângulo: Cantos Superiores Arredondados 26">
          <a:extLst>
            <a:ext uri="{FF2B5EF4-FFF2-40B4-BE49-F238E27FC236}">
              <a16:creationId xmlns:a16="http://schemas.microsoft.com/office/drawing/2014/main" id="{6B8F0B5F-E9E5-4AD4-95B3-6E52EAFBB7FA}"/>
            </a:ext>
          </a:extLst>
        </xdr:cNvPr>
        <xdr:cNvSpPr/>
      </xdr:nvSpPr>
      <xdr:spPr>
        <a:xfrm>
          <a:off x="2495550" y="4124325"/>
          <a:ext cx="12811125" cy="409575"/>
        </a:xfrm>
        <a:prstGeom prst="round2Same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TOTAL SUBSCRIPTION XBOX</a:t>
          </a:r>
          <a:r>
            <a:rPr lang="pt-BR" sz="1800" b="1" baseline="0">
              <a:latin typeface="Segoe UI" panose="020B0502040204020203" pitchFamily="34" charset="0"/>
              <a:cs typeface="Segoe UI" panose="020B0502040204020203" pitchFamily="34" charset="0"/>
            </a:rPr>
            <a:t> GAME PASS</a:t>
          </a:r>
          <a:endParaRPr lang="pt-BR" sz="18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533400</xdr:colOff>
      <xdr:row>0</xdr:row>
      <xdr:rowOff>152400</xdr:rowOff>
    </xdr:from>
    <xdr:to>
      <xdr:col>0</xdr:col>
      <xdr:colOff>1722120</xdr:colOff>
      <xdr:row>2</xdr:row>
      <xdr:rowOff>45720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9FB4E7CC-123A-4796-83C0-15771596E0D7}"/>
            </a:ext>
          </a:extLst>
        </xdr:cNvPr>
        <xdr:cNvSpPr/>
      </xdr:nvSpPr>
      <xdr:spPr>
        <a:xfrm>
          <a:off x="533400" y="152400"/>
          <a:ext cx="1188720" cy="99060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106680</xdr:colOff>
      <xdr:row>2</xdr:row>
      <xdr:rowOff>228600</xdr:rowOff>
    </xdr:from>
    <xdr:to>
      <xdr:col>0</xdr:col>
      <xdr:colOff>2087880</xdr:colOff>
      <xdr:row>7</xdr:row>
      <xdr:rowOff>259080</xdr:rowOff>
    </xdr:to>
    <xdr:sp macro="" textlink="">
      <xdr:nvSpPr>
        <xdr:cNvPr id="29" name="Retângulo: Cantos Superiores Arredondados 28">
          <a:extLst>
            <a:ext uri="{FF2B5EF4-FFF2-40B4-BE49-F238E27FC236}">
              <a16:creationId xmlns:a16="http://schemas.microsoft.com/office/drawing/2014/main" id="{6ECFC7BF-B0EE-4E79-BA90-05DDD3B390CF}"/>
            </a:ext>
          </a:extLst>
        </xdr:cNvPr>
        <xdr:cNvSpPr/>
      </xdr:nvSpPr>
      <xdr:spPr>
        <a:xfrm>
          <a:off x="106680" y="1325880"/>
          <a:ext cx="1981200" cy="990600"/>
        </a:xfrm>
        <a:prstGeom prst="round2Same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Bem</a:t>
          </a:r>
          <a:r>
            <a:rPr lang="pt-BR" sz="1800" b="1" baseline="0">
              <a:latin typeface="Segoe UI" panose="020B0502040204020203" pitchFamily="34" charset="0"/>
              <a:cs typeface="Segoe UI" panose="020B0502040204020203" pitchFamily="34" charset="0"/>
            </a:rPr>
            <a:t> vindo, André</a:t>
          </a:r>
          <a:endParaRPr lang="pt-BR" sz="18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é Ucci" refreshedDate="46159.780388310188" createdVersion="6" refreshedVersion="6" minRefreshableVersion="3" recordCount="295" xr:uid="{2E23855A-E2B4-4966-B0D0-503EE103B7E2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8137992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x v="0"/>
    <s v="Yes"/>
    <n v="20"/>
    <n v="5"/>
    <n v="60"/>
  </r>
  <r>
    <n v="3232"/>
    <s v="Maria Oliveira"/>
    <x v="1"/>
    <d v="2024-01-15T00:00:00"/>
    <x v="1"/>
    <n v="5"/>
    <x v="1"/>
    <s v="No"/>
    <x v="1"/>
    <s v="No"/>
    <n v="0"/>
    <n v="0"/>
    <n v="5"/>
  </r>
  <r>
    <n v="3233"/>
    <s v="Lucas Fernandes"/>
    <x v="2"/>
    <d v="2024-02-10T00:00:00"/>
    <x v="0"/>
    <n v="10"/>
    <x v="2"/>
    <s v="No"/>
    <x v="1"/>
    <s v="Yes"/>
    <n v="20"/>
    <n v="10"/>
    <n v="20"/>
  </r>
  <r>
    <n v="3234"/>
    <s v="Ana Souza"/>
    <x v="0"/>
    <d v="2024-02-20T00:00:00"/>
    <x v="1"/>
    <n v="15"/>
    <x v="0"/>
    <s v="Yes"/>
    <x v="0"/>
    <s v="Yes"/>
    <n v="20"/>
    <n v="3"/>
    <n v="62"/>
  </r>
  <r>
    <n v="3235"/>
    <s v="Pedro Gonçalves"/>
    <x v="1"/>
    <d v="2024-03-05T00:00:00"/>
    <x v="0"/>
    <n v="5"/>
    <x v="0"/>
    <s v="No"/>
    <x v="1"/>
    <s v="No"/>
    <n v="0"/>
    <n v="1"/>
    <n v="4"/>
  </r>
  <r>
    <n v="3236"/>
    <s v="Felipe Costa"/>
    <x v="2"/>
    <d v="2024-03-02T00:00:00"/>
    <x v="1"/>
    <n v="10"/>
    <x v="0"/>
    <s v="No"/>
    <x v="1"/>
    <s v="Yes"/>
    <n v="20"/>
    <n v="2"/>
    <n v="28"/>
  </r>
  <r>
    <n v="3237"/>
    <s v="Camila Ribeiro"/>
    <x v="0"/>
    <d v="2024-03-03T00:00:00"/>
    <x v="0"/>
    <n v="15"/>
    <x v="2"/>
    <s v="Yes"/>
    <x v="0"/>
    <s v="Yes"/>
    <n v="20"/>
    <n v="10"/>
    <n v="55"/>
  </r>
  <r>
    <n v="3238"/>
    <s v="André Mendes"/>
    <x v="1"/>
    <d v="2024-03-04T00:00:00"/>
    <x v="0"/>
    <n v="5"/>
    <x v="1"/>
    <s v="No"/>
    <x v="1"/>
    <s v="No"/>
    <n v="0"/>
    <n v="0"/>
    <n v="5"/>
  </r>
  <r>
    <n v="3239"/>
    <s v="Sofia Almeida"/>
    <x v="0"/>
    <d v="2024-03-05T00:00:00"/>
    <x v="1"/>
    <n v="15"/>
    <x v="0"/>
    <s v="Yes"/>
    <x v="0"/>
    <s v="Yes"/>
    <n v="20"/>
    <n v="5"/>
    <n v="60"/>
  </r>
  <r>
    <n v="3240"/>
    <s v="Bruno Martins"/>
    <x v="2"/>
    <d v="2024-03-06T00:00:00"/>
    <x v="0"/>
    <n v="10"/>
    <x v="2"/>
    <s v="No"/>
    <x v="1"/>
    <s v="Yes"/>
    <n v="20"/>
    <n v="15"/>
    <n v="15"/>
  </r>
  <r>
    <n v="3241"/>
    <s v="Rita Castro"/>
    <x v="1"/>
    <d v="2024-03-07T00:00:00"/>
    <x v="1"/>
    <n v="5"/>
    <x v="0"/>
    <s v="No"/>
    <x v="1"/>
    <s v="No"/>
    <n v="0"/>
    <n v="1"/>
    <n v="4"/>
  </r>
  <r>
    <n v="3242"/>
    <s v="Marco Túlio"/>
    <x v="0"/>
    <d v="2024-03-08T00:00:00"/>
    <x v="0"/>
    <n v="15"/>
    <x v="1"/>
    <s v="Yes"/>
    <x v="0"/>
    <s v="Yes"/>
    <n v="20"/>
    <n v="20"/>
    <n v="45"/>
  </r>
  <r>
    <n v="3243"/>
    <s v="Lívia Silveira"/>
    <x v="2"/>
    <d v="2024-03-09T00:00:00"/>
    <x v="1"/>
    <n v="10"/>
    <x v="0"/>
    <s v="No"/>
    <x v="1"/>
    <s v="Yes"/>
    <n v="20"/>
    <n v="10"/>
    <n v="20"/>
  </r>
  <r>
    <n v="3244"/>
    <s v="Diogo Sousa"/>
    <x v="1"/>
    <d v="2024-03-10T00:00:00"/>
    <x v="0"/>
    <n v="5"/>
    <x v="2"/>
    <s v="No"/>
    <x v="1"/>
    <s v="No"/>
    <n v="0"/>
    <n v="0"/>
    <n v="5"/>
  </r>
  <r>
    <n v="3245"/>
    <s v="Fernanda Lima"/>
    <x v="0"/>
    <d v="2024-03-11T00:00:00"/>
    <x v="1"/>
    <n v="15"/>
    <x v="0"/>
    <s v="Yes"/>
    <x v="0"/>
    <s v="Yes"/>
    <n v="20"/>
    <n v="8"/>
    <n v="57"/>
  </r>
  <r>
    <n v="3246"/>
    <s v="Caio Pereira"/>
    <x v="2"/>
    <d v="2024-03-12T00:00:00"/>
    <x v="0"/>
    <n v="10"/>
    <x v="1"/>
    <s v="No"/>
    <x v="1"/>
    <s v="Yes"/>
    <n v="20"/>
    <n v="12"/>
    <n v="18"/>
  </r>
  <r>
    <n v="3247"/>
    <s v="Beatriz Gomes"/>
    <x v="1"/>
    <d v="2024-03-13T00:00:00"/>
    <x v="1"/>
    <n v="5"/>
    <x v="0"/>
    <s v="No"/>
    <x v="1"/>
    <s v="No"/>
    <n v="0"/>
    <n v="2"/>
    <n v="3"/>
  </r>
  <r>
    <n v="3248"/>
    <s v="Cesar Oliveira"/>
    <x v="0"/>
    <d v="2024-03-14T00:00:00"/>
    <x v="0"/>
    <n v="15"/>
    <x v="2"/>
    <s v="Yes"/>
    <x v="0"/>
    <s v="Yes"/>
    <n v="20"/>
    <n v="7"/>
    <n v="58"/>
  </r>
  <r>
    <n v="3249"/>
    <s v="Débora Machado"/>
    <x v="2"/>
    <d v="2024-03-15T00:00:00"/>
    <x v="1"/>
    <n v="10"/>
    <x v="0"/>
    <s v="No"/>
    <x v="1"/>
    <s v="Yes"/>
    <n v="20"/>
    <n v="5"/>
    <n v="25"/>
  </r>
  <r>
    <n v="3250"/>
    <s v="Eduardo Vargas"/>
    <x v="1"/>
    <d v="2024-03-16T00:00:00"/>
    <x v="0"/>
    <n v="5"/>
    <x v="1"/>
    <s v="No"/>
    <x v="1"/>
    <s v="No"/>
    <n v="0"/>
    <n v="0"/>
    <n v="5"/>
  </r>
  <r>
    <n v="3251"/>
    <s v="Gabriela Santos"/>
    <x v="0"/>
    <d v="2024-03-17T00:00:00"/>
    <x v="1"/>
    <n v="15"/>
    <x v="0"/>
    <s v="Yes"/>
    <x v="0"/>
    <s v="Yes"/>
    <n v="20"/>
    <n v="3"/>
    <n v="62"/>
  </r>
  <r>
    <n v="3252"/>
    <s v="Henrique Dias"/>
    <x v="2"/>
    <d v="2024-03-18T00:00:00"/>
    <x v="0"/>
    <n v="10"/>
    <x v="2"/>
    <s v="No"/>
    <x v="1"/>
    <s v="Yes"/>
    <n v="20"/>
    <n v="15"/>
    <n v="15"/>
  </r>
  <r>
    <n v="3253"/>
    <s v="Isabela Moreira"/>
    <x v="1"/>
    <d v="2024-03-19T00:00:00"/>
    <x v="1"/>
    <n v="5"/>
    <x v="0"/>
    <s v="No"/>
    <x v="1"/>
    <s v="No"/>
    <n v="0"/>
    <n v="1"/>
    <n v="4"/>
  </r>
  <r>
    <n v="3254"/>
    <s v="Joaquim Barbosa"/>
    <x v="0"/>
    <d v="2024-03-20T00:00:00"/>
    <x v="0"/>
    <n v="15"/>
    <x v="1"/>
    <s v="Yes"/>
    <x v="0"/>
    <s v="Yes"/>
    <n v="20"/>
    <n v="20"/>
    <n v="45"/>
  </r>
  <r>
    <n v="3255"/>
    <s v="Lara Rocha"/>
    <x v="2"/>
    <d v="2024-03-21T00:00:00"/>
    <x v="1"/>
    <n v="10"/>
    <x v="0"/>
    <s v="No"/>
    <x v="1"/>
    <s v="Yes"/>
    <n v="20"/>
    <n v="10"/>
    <n v="20"/>
  </r>
  <r>
    <n v="3256"/>
    <s v="Matheus Silva"/>
    <x v="1"/>
    <d v="2024-03-22T00:00:00"/>
    <x v="0"/>
    <n v="5"/>
    <x v="2"/>
    <s v="No"/>
    <x v="1"/>
    <s v="No"/>
    <n v="0"/>
    <n v="0"/>
    <n v="5"/>
  </r>
  <r>
    <n v="3257"/>
    <s v="Nicole Costa"/>
    <x v="0"/>
    <d v="2024-03-23T00:00:00"/>
    <x v="1"/>
    <n v="15"/>
    <x v="0"/>
    <s v="Yes"/>
    <x v="0"/>
    <s v="Yes"/>
    <n v="20"/>
    <n v="5"/>
    <n v="60"/>
  </r>
  <r>
    <n v="3258"/>
    <s v="Otávio Mendonça"/>
    <x v="2"/>
    <d v="2024-03-24T00:00:00"/>
    <x v="0"/>
    <n v="10"/>
    <x v="1"/>
    <s v="No"/>
    <x v="1"/>
    <s v="Yes"/>
    <n v="20"/>
    <n v="15"/>
    <n v="15"/>
  </r>
  <r>
    <n v="3259"/>
    <s v="Paula Ferreira"/>
    <x v="1"/>
    <d v="2024-03-25T00:00:00"/>
    <x v="1"/>
    <n v="5"/>
    <x v="0"/>
    <s v="No"/>
    <x v="1"/>
    <s v="No"/>
    <n v="0"/>
    <n v="1"/>
    <n v="4"/>
  </r>
  <r>
    <n v="3260"/>
    <s v="Raquel Alves"/>
    <x v="0"/>
    <d v="2024-03-26T00:00:00"/>
    <x v="0"/>
    <n v="15"/>
    <x v="2"/>
    <s v="Yes"/>
    <x v="0"/>
    <s v="Yes"/>
    <n v="20"/>
    <n v="7"/>
    <n v="58"/>
  </r>
  <r>
    <n v="3261"/>
    <s v="Samuel Pires"/>
    <x v="2"/>
    <d v="2024-03-27T00:00:00"/>
    <x v="1"/>
    <n v="10"/>
    <x v="0"/>
    <s v="No"/>
    <x v="1"/>
    <s v="Yes"/>
    <n v="20"/>
    <n v="10"/>
    <n v="20"/>
  </r>
  <r>
    <n v="3262"/>
    <s v="Tânia Barros"/>
    <x v="1"/>
    <d v="2024-03-28T00:00:00"/>
    <x v="0"/>
    <n v="5"/>
    <x v="1"/>
    <s v="No"/>
    <x v="1"/>
    <s v="No"/>
    <n v="0"/>
    <n v="0"/>
    <n v="5"/>
  </r>
  <r>
    <n v="3263"/>
    <s v="Vinicius Lima"/>
    <x v="0"/>
    <d v="2024-03-29T00:00:00"/>
    <x v="1"/>
    <n v="15"/>
    <x v="0"/>
    <s v="Yes"/>
    <x v="0"/>
    <s v="Yes"/>
    <n v="20"/>
    <n v="3"/>
    <n v="62"/>
  </r>
  <r>
    <n v="3264"/>
    <s v="Yasmin Teixeira"/>
    <x v="2"/>
    <d v="2024-03-30T00:00:00"/>
    <x v="0"/>
    <n v="10"/>
    <x v="2"/>
    <s v="No"/>
    <x v="1"/>
    <s v="Yes"/>
    <n v="20"/>
    <n v="15"/>
    <n v="15"/>
  </r>
  <r>
    <n v="3265"/>
    <s v="Zé Carlos"/>
    <x v="1"/>
    <d v="2024-03-31T00:00:00"/>
    <x v="1"/>
    <n v="5"/>
    <x v="0"/>
    <s v="No"/>
    <x v="1"/>
    <s v="No"/>
    <n v="0"/>
    <n v="1"/>
    <n v="4"/>
  </r>
  <r>
    <n v="3266"/>
    <s v="Amanda Nogueira"/>
    <x v="1"/>
    <d v="2024-04-01T00:00:00"/>
    <x v="0"/>
    <n v="5"/>
    <x v="0"/>
    <s v="No"/>
    <x v="1"/>
    <s v="No"/>
    <n v="0"/>
    <n v="0"/>
    <n v="5"/>
  </r>
  <r>
    <n v="3267"/>
    <s v="Bruno Cavalheiro"/>
    <x v="0"/>
    <d v="2024-04-02T00:00:00"/>
    <x v="1"/>
    <n v="15"/>
    <x v="2"/>
    <s v="Yes"/>
    <x v="0"/>
    <s v="Yes"/>
    <n v="20"/>
    <n v="7"/>
    <n v="58"/>
  </r>
  <r>
    <n v="3268"/>
    <s v="Carla Dias"/>
    <x v="2"/>
    <d v="2024-04-03T00:00:00"/>
    <x v="0"/>
    <n v="10"/>
    <x v="1"/>
    <s v="No"/>
    <x v="1"/>
    <s v="Yes"/>
    <n v="20"/>
    <n v="10"/>
    <n v="20"/>
  </r>
  <r>
    <n v="3269"/>
    <s v="Diego Fontes"/>
    <x v="1"/>
    <d v="2024-04-04T00:00:00"/>
    <x v="1"/>
    <n v="5"/>
    <x v="2"/>
    <s v="No"/>
    <x v="1"/>
    <s v="No"/>
    <n v="0"/>
    <n v="1"/>
    <n v="4"/>
  </r>
  <r>
    <n v="3270"/>
    <s v="Eunice Lima"/>
    <x v="0"/>
    <d v="2024-04-05T00:00:00"/>
    <x v="0"/>
    <n v="15"/>
    <x v="0"/>
    <s v="Yes"/>
    <x v="0"/>
    <s v="Yes"/>
    <n v="20"/>
    <n v="15"/>
    <n v="50"/>
  </r>
  <r>
    <n v="3271"/>
    <s v="Fábio Martins"/>
    <x v="2"/>
    <d v="2024-04-06T00:00:00"/>
    <x v="1"/>
    <n v="10"/>
    <x v="0"/>
    <s v="No"/>
    <x v="1"/>
    <s v="Yes"/>
    <n v="20"/>
    <n v="5"/>
    <n v="25"/>
  </r>
  <r>
    <n v="3272"/>
    <s v="Gisele Araújo"/>
    <x v="1"/>
    <d v="2024-04-07T00:00:00"/>
    <x v="0"/>
    <n v="5"/>
    <x v="1"/>
    <s v="No"/>
    <x v="1"/>
    <s v="No"/>
    <n v="0"/>
    <n v="0"/>
    <n v="5"/>
  </r>
  <r>
    <n v="3273"/>
    <s v="Hélio Castro"/>
    <x v="0"/>
    <d v="2024-04-08T00:00:00"/>
    <x v="1"/>
    <n v="15"/>
    <x v="2"/>
    <s v="Yes"/>
    <x v="0"/>
    <s v="Yes"/>
    <n v="20"/>
    <n v="20"/>
    <n v="45"/>
  </r>
  <r>
    <n v="3274"/>
    <s v="Ingrid Menezes"/>
    <x v="2"/>
    <d v="2024-04-09T00:00:00"/>
    <x v="0"/>
    <n v="10"/>
    <x v="2"/>
    <s v="No"/>
    <x v="1"/>
    <s v="Yes"/>
    <n v="20"/>
    <n v="12"/>
    <n v="18"/>
  </r>
  <r>
    <n v="3275"/>
    <s v="Jorge Baptista"/>
    <x v="1"/>
    <d v="2024-04-10T00:00:00"/>
    <x v="1"/>
    <n v="5"/>
    <x v="0"/>
    <s v="No"/>
    <x v="1"/>
    <s v="No"/>
    <n v="0"/>
    <n v="2"/>
    <n v="3"/>
  </r>
  <r>
    <n v="3276"/>
    <s v="Kléber Oliveira"/>
    <x v="0"/>
    <d v="2024-04-11T00:00:00"/>
    <x v="0"/>
    <n v="15"/>
    <x v="1"/>
    <s v="Yes"/>
    <x v="0"/>
    <s v="Yes"/>
    <n v="20"/>
    <n v="5"/>
    <n v="60"/>
  </r>
  <r>
    <n v="3277"/>
    <s v="Luciana Freitas"/>
    <x v="2"/>
    <d v="2024-04-12T00:00:00"/>
    <x v="1"/>
    <n v="10"/>
    <x v="0"/>
    <s v="No"/>
    <x v="1"/>
    <s v="Yes"/>
    <n v="20"/>
    <n v="10"/>
    <n v="20"/>
  </r>
  <r>
    <n v="3278"/>
    <s v="Márcia Eller"/>
    <x v="1"/>
    <d v="2024-04-13T00:00:00"/>
    <x v="0"/>
    <n v="5"/>
    <x v="2"/>
    <s v="No"/>
    <x v="1"/>
    <s v="No"/>
    <n v="0"/>
    <n v="0"/>
    <n v="5"/>
  </r>
  <r>
    <n v="3279"/>
    <s v="Nilo Peçanha"/>
    <x v="0"/>
    <d v="2024-04-14T00:00:00"/>
    <x v="1"/>
    <n v="15"/>
    <x v="0"/>
    <s v="Yes"/>
    <x v="0"/>
    <s v="Yes"/>
    <n v="20"/>
    <n v="3"/>
    <n v="62"/>
  </r>
  <r>
    <n v="3280"/>
    <s v="Oscar Neves"/>
    <x v="2"/>
    <d v="2024-04-15T00:00:00"/>
    <x v="0"/>
    <n v="10"/>
    <x v="1"/>
    <s v="No"/>
    <x v="1"/>
    <s v="Yes"/>
    <n v="20"/>
    <n v="15"/>
    <n v="15"/>
  </r>
  <r>
    <n v="3281"/>
    <s v="Patrícia Soares"/>
    <x v="1"/>
    <d v="2024-04-16T00:00:00"/>
    <x v="1"/>
    <n v="5"/>
    <x v="0"/>
    <s v="No"/>
    <x v="1"/>
    <s v="No"/>
    <n v="0"/>
    <n v="1"/>
    <n v="4"/>
  </r>
  <r>
    <n v="3282"/>
    <s v="Quirino Gonçalves"/>
    <x v="0"/>
    <d v="2024-04-17T00:00:00"/>
    <x v="0"/>
    <n v="15"/>
    <x v="2"/>
    <s v="Yes"/>
    <x v="0"/>
    <s v="Yes"/>
    <n v="20"/>
    <n v="7"/>
    <n v="58"/>
  </r>
  <r>
    <n v="3283"/>
    <s v="Raul Machado"/>
    <x v="2"/>
    <d v="2024-04-18T00:00:00"/>
    <x v="1"/>
    <n v="10"/>
    <x v="0"/>
    <s v="No"/>
    <x v="1"/>
    <s v="Yes"/>
    <n v="20"/>
    <n v="10"/>
    <n v="20"/>
  </r>
  <r>
    <n v="3284"/>
    <s v="Sônia Lobo"/>
    <x v="1"/>
    <d v="2024-04-19T00:00:00"/>
    <x v="0"/>
    <n v="5"/>
    <x v="1"/>
    <s v="No"/>
    <x v="1"/>
    <s v="No"/>
    <n v="0"/>
    <n v="0"/>
    <n v="5"/>
  </r>
  <r>
    <n v="3285"/>
    <s v="Tiago Ramos"/>
    <x v="0"/>
    <d v="2024-04-20T00:00:00"/>
    <x v="1"/>
    <n v="15"/>
    <x v="0"/>
    <s v="Yes"/>
    <x v="0"/>
    <s v="Yes"/>
    <n v="20"/>
    <n v="20"/>
    <n v="45"/>
  </r>
  <r>
    <n v="3286"/>
    <s v="Ugo Pires"/>
    <x v="2"/>
    <d v="2024-04-21T00:00:00"/>
    <x v="0"/>
    <n v="10"/>
    <x v="2"/>
    <s v="No"/>
    <x v="1"/>
    <s v="Yes"/>
    <n v="20"/>
    <n v="15"/>
    <n v="15"/>
  </r>
  <r>
    <n v="3287"/>
    <s v="Valéria Nobre"/>
    <x v="1"/>
    <d v="2024-04-22T00:00:00"/>
    <x v="1"/>
    <n v="5"/>
    <x v="0"/>
    <s v="No"/>
    <x v="1"/>
    <s v="No"/>
    <n v="0"/>
    <n v="1"/>
    <n v="4"/>
  </r>
  <r>
    <n v="3288"/>
    <s v="William Siqueira"/>
    <x v="0"/>
    <d v="2024-04-23T00:00:00"/>
    <x v="0"/>
    <n v="15"/>
    <x v="1"/>
    <s v="Yes"/>
    <x v="0"/>
    <s v="Yes"/>
    <n v="20"/>
    <n v="3"/>
    <n v="62"/>
  </r>
  <r>
    <n v="3289"/>
    <s v="Xuxa Meneghel"/>
    <x v="2"/>
    <d v="2024-04-24T00:00:00"/>
    <x v="1"/>
    <n v="10"/>
    <x v="0"/>
    <s v="No"/>
    <x v="1"/>
    <s v="Yes"/>
    <n v="20"/>
    <n v="10"/>
    <n v="20"/>
  </r>
  <r>
    <n v="3290"/>
    <s v="Yara Figueiredo"/>
    <x v="1"/>
    <d v="2024-04-25T00:00:00"/>
    <x v="0"/>
    <n v="5"/>
    <x v="2"/>
    <s v="No"/>
    <x v="1"/>
    <s v="No"/>
    <n v="0"/>
    <n v="0"/>
    <n v="5"/>
  </r>
  <r>
    <n v="3291"/>
    <s v="Zacarias Alves"/>
    <x v="0"/>
    <d v="2024-04-26T00:00:00"/>
    <x v="1"/>
    <n v="15"/>
    <x v="0"/>
    <s v="Yes"/>
    <x v="0"/>
    <s v="Yes"/>
    <n v="20"/>
    <n v="5"/>
    <n v="60"/>
  </r>
  <r>
    <n v="3292"/>
    <s v="Amanda Bynes"/>
    <x v="2"/>
    <d v="2024-04-27T00:00:00"/>
    <x v="0"/>
    <n v="10"/>
    <x v="1"/>
    <s v="No"/>
    <x v="1"/>
    <s v="Yes"/>
    <n v="20"/>
    <n v="15"/>
    <n v="15"/>
  </r>
  <r>
    <n v="3293"/>
    <s v="Bruno Mars"/>
    <x v="1"/>
    <d v="2024-04-28T00:00:00"/>
    <x v="1"/>
    <n v="5"/>
    <x v="0"/>
    <s v="No"/>
    <x v="1"/>
    <s v="No"/>
    <n v="0"/>
    <n v="1"/>
    <n v="4"/>
  </r>
  <r>
    <n v="3294"/>
    <s v="Carla Bruni"/>
    <x v="0"/>
    <d v="2024-04-29T00:00:00"/>
    <x v="0"/>
    <n v="15"/>
    <x v="2"/>
    <s v="Yes"/>
    <x v="0"/>
    <s v="Yes"/>
    <n v="20"/>
    <n v="20"/>
    <n v="45"/>
  </r>
  <r>
    <n v="3295"/>
    <s v="Diego Maradona"/>
    <x v="2"/>
    <d v="2024-04-30T00:00:00"/>
    <x v="1"/>
    <n v="10"/>
    <x v="0"/>
    <s v="No"/>
    <x v="1"/>
    <s v="Yes"/>
    <n v="20"/>
    <n v="5"/>
    <n v="25"/>
  </r>
  <r>
    <n v="3296"/>
    <s v="Estela Marques"/>
    <x v="1"/>
    <d v="2024-05-01T00:00:00"/>
    <x v="1"/>
    <n v="5"/>
    <x v="0"/>
    <s v="No"/>
    <x v="1"/>
    <s v="No"/>
    <n v="0"/>
    <n v="0"/>
    <n v="5"/>
  </r>
  <r>
    <n v="3297"/>
    <s v="Fábio Nobre"/>
    <x v="0"/>
    <d v="2024-05-02T00:00:00"/>
    <x v="0"/>
    <n v="15"/>
    <x v="2"/>
    <s v="Yes"/>
    <x v="0"/>
    <s v="Yes"/>
    <n v="20"/>
    <n v="7"/>
    <n v="58"/>
  </r>
  <r>
    <n v="3298"/>
    <s v="Gabriel Oliveira"/>
    <x v="2"/>
    <d v="2024-05-03T00:00:00"/>
    <x v="1"/>
    <n v="10"/>
    <x v="1"/>
    <s v="No"/>
    <x v="1"/>
    <s v="Yes"/>
    <n v="20"/>
    <n v="10"/>
    <n v="20"/>
  </r>
  <r>
    <n v="3299"/>
    <s v="Helena Santos"/>
    <x v="1"/>
    <d v="2024-05-04T00:00:00"/>
    <x v="0"/>
    <n v="5"/>
    <x v="2"/>
    <s v="No"/>
    <x v="1"/>
    <s v="No"/>
    <n v="0"/>
    <n v="1"/>
    <n v="4"/>
  </r>
  <r>
    <n v="3300"/>
    <s v="Ivan Carvalho"/>
    <x v="0"/>
    <d v="2024-05-05T00:00:00"/>
    <x v="1"/>
    <n v="15"/>
    <x v="0"/>
    <s v="Yes"/>
    <x v="0"/>
    <s v="Yes"/>
    <n v="20"/>
    <n v="15"/>
    <n v="50"/>
  </r>
  <r>
    <n v="3301"/>
    <s v="Júlia Ferreira"/>
    <x v="2"/>
    <d v="2024-05-06T00:00:00"/>
    <x v="0"/>
    <n v="10"/>
    <x v="0"/>
    <s v="No"/>
    <x v="1"/>
    <s v="Yes"/>
    <n v="20"/>
    <n v="5"/>
    <n v="25"/>
  </r>
  <r>
    <n v="3302"/>
    <s v="Karla Alves"/>
    <x v="1"/>
    <d v="2024-05-07T00:00:00"/>
    <x v="1"/>
    <n v="5"/>
    <x v="1"/>
    <s v="No"/>
    <x v="1"/>
    <s v="No"/>
    <n v="0"/>
    <n v="0"/>
    <n v="5"/>
  </r>
  <r>
    <n v="3303"/>
    <s v="Lucas Mendes"/>
    <x v="0"/>
    <d v="2024-05-08T00:00:00"/>
    <x v="0"/>
    <n v="15"/>
    <x v="2"/>
    <s v="Yes"/>
    <x v="0"/>
    <s v="Yes"/>
    <n v="20"/>
    <n v="20"/>
    <n v="45"/>
  </r>
  <r>
    <n v="3304"/>
    <s v="Mônica Gomes"/>
    <x v="2"/>
    <d v="2024-05-09T00:00:00"/>
    <x v="1"/>
    <n v="10"/>
    <x v="2"/>
    <s v="No"/>
    <x v="1"/>
    <s v="Yes"/>
    <n v="20"/>
    <n v="12"/>
    <n v="18"/>
  </r>
  <r>
    <n v="3305"/>
    <s v="Norberto Queiroz"/>
    <x v="1"/>
    <d v="2024-05-10T00:00:00"/>
    <x v="0"/>
    <n v="5"/>
    <x v="0"/>
    <s v="No"/>
    <x v="1"/>
    <s v="No"/>
    <n v="0"/>
    <n v="2"/>
    <n v="3"/>
  </r>
  <r>
    <n v="3306"/>
    <s v="Otávio Barros"/>
    <x v="0"/>
    <d v="2024-05-11T00:00:00"/>
    <x v="1"/>
    <n v="15"/>
    <x v="1"/>
    <s v="Yes"/>
    <x v="0"/>
    <s v="Yes"/>
    <n v="20"/>
    <n v="5"/>
    <n v="60"/>
  </r>
  <r>
    <n v="3307"/>
    <s v="Paula Vieira"/>
    <x v="2"/>
    <d v="2024-05-12T00:00:00"/>
    <x v="0"/>
    <n v="10"/>
    <x v="0"/>
    <s v="No"/>
    <x v="1"/>
    <s v="Yes"/>
    <n v="20"/>
    <n v="10"/>
    <n v="20"/>
  </r>
  <r>
    <n v="3308"/>
    <s v="Quentin Ramos"/>
    <x v="1"/>
    <d v="2024-05-13T00:00:00"/>
    <x v="1"/>
    <n v="5"/>
    <x v="2"/>
    <s v="No"/>
    <x v="1"/>
    <s v="No"/>
    <n v="0"/>
    <n v="0"/>
    <n v="5"/>
  </r>
  <r>
    <n v="3309"/>
    <s v="Raquel Novaes"/>
    <x v="0"/>
    <d v="2024-05-14T00:00:00"/>
    <x v="0"/>
    <n v="15"/>
    <x v="0"/>
    <s v="Yes"/>
    <x v="0"/>
    <s v="Yes"/>
    <n v="20"/>
    <n v="3"/>
    <n v="62"/>
  </r>
  <r>
    <n v="3310"/>
    <s v="Samantha Lopes"/>
    <x v="2"/>
    <d v="2024-05-15T00:00:00"/>
    <x v="1"/>
    <n v="10"/>
    <x v="1"/>
    <s v="No"/>
    <x v="1"/>
    <s v="Yes"/>
    <n v="20"/>
    <n v="15"/>
    <n v="15"/>
  </r>
  <r>
    <n v="3311"/>
    <s v="Tiago Martins"/>
    <x v="1"/>
    <d v="2024-05-16T00:00:00"/>
    <x v="0"/>
    <n v="5"/>
    <x v="0"/>
    <s v="No"/>
    <x v="1"/>
    <s v="No"/>
    <n v="0"/>
    <n v="1"/>
    <n v="4"/>
  </r>
  <r>
    <n v="3312"/>
    <s v="Ulysses Guimarães"/>
    <x v="0"/>
    <d v="2024-05-17T00:00:00"/>
    <x v="1"/>
    <n v="15"/>
    <x v="2"/>
    <s v="Yes"/>
    <x v="0"/>
    <s v="Yes"/>
    <n v="20"/>
    <n v="7"/>
    <n v="58"/>
  </r>
  <r>
    <n v="3313"/>
    <s v="Vanessa Silva"/>
    <x v="2"/>
    <d v="2024-05-18T00:00:00"/>
    <x v="0"/>
    <n v="10"/>
    <x v="0"/>
    <s v="No"/>
    <x v="1"/>
    <s v="Yes"/>
    <n v="20"/>
    <n v="10"/>
    <n v="20"/>
  </r>
  <r>
    <n v="3314"/>
    <s v="William Carneiro"/>
    <x v="1"/>
    <d v="2024-05-19T00:00:00"/>
    <x v="1"/>
    <n v="5"/>
    <x v="1"/>
    <s v="No"/>
    <x v="1"/>
    <s v="No"/>
    <n v="0"/>
    <n v="0"/>
    <n v="5"/>
  </r>
  <r>
    <n v="3315"/>
    <s v="Ximena Rocha"/>
    <x v="0"/>
    <d v="2024-05-20T00:00:00"/>
    <x v="0"/>
    <n v="15"/>
    <x v="0"/>
    <s v="Yes"/>
    <x v="0"/>
    <s v="Yes"/>
    <n v="20"/>
    <n v="20"/>
    <n v="45"/>
  </r>
  <r>
    <n v="3316"/>
    <s v="Yasmin Figueiredo"/>
    <x v="2"/>
    <d v="2024-05-21T00:00:00"/>
    <x v="1"/>
    <n v="10"/>
    <x v="2"/>
    <s v="No"/>
    <x v="1"/>
    <s v="Yes"/>
    <n v="20"/>
    <n v="15"/>
    <n v="15"/>
  </r>
  <r>
    <n v="3317"/>
    <s v="Zara Cunha"/>
    <x v="1"/>
    <d v="2024-05-22T00:00:00"/>
    <x v="0"/>
    <n v="5"/>
    <x v="0"/>
    <s v="No"/>
    <x v="1"/>
    <s v="No"/>
    <n v="0"/>
    <n v="1"/>
    <n v="4"/>
  </r>
  <r>
    <n v="3318"/>
    <s v="Alan Teixeira"/>
    <x v="0"/>
    <d v="2024-05-23T00:00:00"/>
    <x v="1"/>
    <n v="15"/>
    <x v="1"/>
    <s v="Yes"/>
    <x v="0"/>
    <s v="Yes"/>
    <n v="20"/>
    <n v="3"/>
    <n v="62"/>
  </r>
  <r>
    <n v="3319"/>
    <s v="Bárbara Oliveira"/>
    <x v="2"/>
    <d v="2024-05-24T00:00:00"/>
    <x v="0"/>
    <n v="10"/>
    <x v="0"/>
    <s v="No"/>
    <x v="1"/>
    <s v="Yes"/>
    <n v="20"/>
    <n v="10"/>
    <n v="20"/>
  </r>
  <r>
    <n v="3320"/>
    <s v="Carlos Junqueira"/>
    <x v="1"/>
    <d v="2024-05-25T00:00:00"/>
    <x v="1"/>
    <n v="5"/>
    <x v="2"/>
    <s v="No"/>
    <x v="1"/>
    <s v="No"/>
    <n v="0"/>
    <n v="0"/>
    <n v="5"/>
  </r>
  <r>
    <n v="3321"/>
    <s v="Daniela Moura"/>
    <x v="0"/>
    <d v="2024-05-26T00:00:00"/>
    <x v="0"/>
    <n v="15"/>
    <x v="0"/>
    <s v="Yes"/>
    <x v="0"/>
    <s v="Yes"/>
    <n v="20"/>
    <n v="5"/>
    <n v="60"/>
  </r>
  <r>
    <n v="3322"/>
    <s v="Eduardo Lima"/>
    <x v="2"/>
    <d v="2024-05-27T00:00:00"/>
    <x v="1"/>
    <n v="10"/>
    <x v="1"/>
    <s v="No"/>
    <x v="1"/>
    <s v="Yes"/>
    <n v="20"/>
    <n v="15"/>
    <n v="15"/>
  </r>
  <r>
    <n v="3323"/>
    <s v="Fabiana Araújo"/>
    <x v="1"/>
    <d v="2024-05-28T00:00:00"/>
    <x v="0"/>
    <n v="5"/>
    <x v="0"/>
    <s v="No"/>
    <x v="1"/>
    <s v="No"/>
    <n v="0"/>
    <n v="1"/>
    <n v="4"/>
  </r>
  <r>
    <n v="3324"/>
    <s v="Geraldo Ribeiro"/>
    <x v="0"/>
    <d v="2024-05-29T00:00:00"/>
    <x v="1"/>
    <n v="15"/>
    <x v="2"/>
    <s v="Yes"/>
    <x v="0"/>
    <s v="Yes"/>
    <n v="20"/>
    <n v="20"/>
    <n v="45"/>
  </r>
  <r>
    <n v="3325"/>
    <s v="Héctor Vargas"/>
    <x v="2"/>
    <d v="2024-05-30T00:00:00"/>
    <x v="0"/>
    <n v="10"/>
    <x v="2"/>
    <s v="No"/>
    <x v="1"/>
    <s v="Yes"/>
    <n v="20"/>
    <n v="15"/>
    <n v="15"/>
  </r>
  <r>
    <n v="3326"/>
    <s v="Isabela Fonseca"/>
    <x v="1"/>
    <d v="2024-05-31T00:00:00"/>
    <x v="1"/>
    <n v="5"/>
    <x v="1"/>
    <s v="No"/>
    <x v="1"/>
    <s v="No"/>
    <n v="0"/>
    <n v="0"/>
    <n v="5"/>
  </r>
  <r>
    <n v="3327"/>
    <s v="João Pedro Almeida"/>
    <x v="0"/>
    <d v="2024-06-01T00:00:00"/>
    <x v="0"/>
    <n v="15"/>
    <x v="0"/>
    <s v="Yes"/>
    <x v="0"/>
    <s v="Yes"/>
    <n v="20"/>
    <n v="7"/>
    <n v="58"/>
  </r>
  <r>
    <n v="3328"/>
    <s v="Klara Costa"/>
    <x v="2"/>
    <d v="2024-06-02T00:00:00"/>
    <x v="1"/>
    <n v="10"/>
    <x v="1"/>
    <s v="No"/>
    <x v="1"/>
    <s v="Yes"/>
    <n v="20"/>
    <n v="10"/>
    <n v="20"/>
  </r>
  <r>
    <n v="3329"/>
    <s v="Luciana Mendes"/>
    <x v="1"/>
    <d v="2024-06-03T00:00:00"/>
    <x v="0"/>
    <n v="5"/>
    <x v="2"/>
    <s v="No"/>
    <x v="1"/>
    <s v="No"/>
    <n v="0"/>
    <n v="1"/>
    <n v="4"/>
  </r>
  <r>
    <n v="3330"/>
    <s v="Marcelo Gouveia"/>
    <x v="0"/>
    <d v="2024-06-04T00:00:00"/>
    <x v="1"/>
    <n v="15"/>
    <x v="0"/>
    <s v="Yes"/>
    <x v="0"/>
    <s v="Yes"/>
    <n v="20"/>
    <n v="15"/>
    <n v="50"/>
  </r>
  <r>
    <n v="3331"/>
    <s v="Nívea Borges"/>
    <x v="2"/>
    <d v="2024-06-05T00:00:00"/>
    <x v="0"/>
    <n v="10"/>
    <x v="0"/>
    <s v="No"/>
    <x v="1"/>
    <s v="Yes"/>
    <n v="20"/>
    <n v="5"/>
    <n v="25"/>
  </r>
  <r>
    <n v="3332"/>
    <s v="Oscar Nogueira"/>
    <x v="1"/>
    <d v="2024-06-06T00:00:00"/>
    <x v="1"/>
    <n v="5"/>
    <x v="1"/>
    <s v="No"/>
    <x v="1"/>
    <s v="No"/>
    <n v="0"/>
    <n v="0"/>
    <n v="5"/>
  </r>
  <r>
    <n v="3333"/>
    <s v="Patrícia Alves"/>
    <x v="0"/>
    <d v="2024-06-07T00:00:00"/>
    <x v="0"/>
    <n v="15"/>
    <x v="2"/>
    <s v="Yes"/>
    <x v="0"/>
    <s v="Yes"/>
    <n v="20"/>
    <n v="20"/>
    <n v="45"/>
  </r>
  <r>
    <n v="3334"/>
    <s v="Rafaela Silva"/>
    <x v="2"/>
    <d v="2024-06-08T00:00:00"/>
    <x v="1"/>
    <n v="10"/>
    <x v="2"/>
    <s v="No"/>
    <x v="1"/>
    <s v="Yes"/>
    <n v="20"/>
    <n v="12"/>
    <n v="18"/>
  </r>
  <r>
    <n v="3335"/>
    <s v="Samantha Moraes"/>
    <x v="1"/>
    <d v="2024-06-09T00:00:00"/>
    <x v="0"/>
    <n v="5"/>
    <x v="0"/>
    <s v="No"/>
    <x v="1"/>
    <s v="No"/>
    <n v="0"/>
    <n v="2"/>
    <n v="3"/>
  </r>
  <r>
    <n v="3336"/>
    <s v="Tatiana Rocha"/>
    <x v="1"/>
    <d v="2024-06-10T00:00:00"/>
    <x v="0"/>
    <n v="5"/>
    <x v="0"/>
    <s v="No"/>
    <x v="1"/>
    <s v="No"/>
    <n v="0"/>
    <n v="0"/>
    <n v="5"/>
  </r>
  <r>
    <n v="3337"/>
    <s v="Ulisses Tavares"/>
    <x v="0"/>
    <d v="2024-06-11T00:00:00"/>
    <x v="1"/>
    <n v="15"/>
    <x v="2"/>
    <s v="Yes"/>
    <x v="0"/>
    <s v="Yes"/>
    <n v="20"/>
    <n v="7"/>
    <n v="58"/>
  </r>
  <r>
    <n v="3338"/>
    <s v="Víctor Lemos"/>
    <x v="2"/>
    <d v="2024-06-12T00:00:00"/>
    <x v="0"/>
    <n v="10"/>
    <x v="1"/>
    <s v="No"/>
    <x v="1"/>
    <s v="Yes"/>
    <n v="20"/>
    <n v="10"/>
    <n v="20"/>
  </r>
  <r>
    <n v="3339"/>
    <s v="Wilma Barros"/>
    <x v="1"/>
    <d v="2024-06-13T00:00:00"/>
    <x v="1"/>
    <n v="5"/>
    <x v="2"/>
    <s v="No"/>
    <x v="1"/>
    <s v="No"/>
    <n v="0"/>
    <n v="1"/>
    <n v="4"/>
  </r>
  <r>
    <n v="3340"/>
    <s v="Xavier Nascimento"/>
    <x v="0"/>
    <d v="2024-06-14T00:00:00"/>
    <x v="0"/>
    <n v="15"/>
    <x v="0"/>
    <s v="Yes"/>
    <x v="0"/>
    <s v="Yes"/>
    <n v="20"/>
    <n v="15"/>
    <n v="50"/>
  </r>
  <r>
    <n v="3341"/>
    <s v="Yago Pereira"/>
    <x v="2"/>
    <d v="2024-06-15T00:00:00"/>
    <x v="1"/>
    <n v="10"/>
    <x v="0"/>
    <s v="No"/>
    <x v="1"/>
    <s v="Yes"/>
    <n v="20"/>
    <n v="5"/>
    <n v="25"/>
  </r>
  <r>
    <n v="3342"/>
    <s v="Zilda Ferreira"/>
    <x v="1"/>
    <d v="2024-06-16T00:00:00"/>
    <x v="0"/>
    <n v="5"/>
    <x v="1"/>
    <s v="No"/>
    <x v="1"/>
    <s v="No"/>
    <n v="0"/>
    <n v="0"/>
    <n v="5"/>
  </r>
  <r>
    <n v="3343"/>
    <s v="Amanda Lopes"/>
    <x v="0"/>
    <d v="2024-06-17T00:00:00"/>
    <x v="1"/>
    <n v="15"/>
    <x v="2"/>
    <s v="Yes"/>
    <x v="0"/>
    <s v="Yes"/>
    <n v="20"/>
    <n v="20"/>
    <n v="45"/>
  </r>
  <r>
    <n v="3344"/>
    <s v="Bruno Miranda"/>
    <x v="2"/>
    <d v="2024-06-18T00:00:00"/>
    <x v="0"/>
    <n v="10"/>
    <x v="2"/>
    <s v="No"/>
    <x v="1"/>
    <s v="Yes"/>
    <n v="20"/>
    <n v="12"/>
    <n v="18"/>
  </r>
  <r>
    <n v="3345"/>
    <s v="Célia Torres"/>
    <x v="1"/>
    <d v="2024-06-19T00:00:00"/>
    <x v="1"/>
    <n v="5"/>
    <x v="0"/>
    <s v="No"/>
    <x v="1"/>
    <s v="No"/>
    <n v="0"/>
    <n v="2"/>
    <n v="3"/>
  </r>
  <r>
    <n v="3346"/>
    <s v="Diogo Souza"/>
    <x v="0"/>
    <d v="2024-06-20T00:00:00"/>
    <x v="0"/>
    <n v="15"/>
    <x v="1"/>
    <s v="Yes"/>
    <x v="0"/>
    <s v="Yes"/>
    <n v="20"/>
    <n v="5"/>
    <n v="60"/>
  </r>
  <r>
    <n v="3347"/>
    <s v="Elisa Castro"/>
    <x v="2"/>
    <d v="2024-06-21T00:00:00"/>
    <x v="1"/>
    <n v="10"/>
    <x v="0"/>
    <s v="No"/>
    <x v="1"/>
    <s v="Yes"/>
    <n v="20"/>
    <n v="10"/>
    <n v="20"/>
  </r>
  <r>
    <n v="3348"/>
    <s v="Fátima Lima"/>
    <x v="1"/>
    <d v="2024-06-22T00:00:00"/>
    <x v="0"/>
    <n v="5"/>
    <x v="2"/>
    <s v="No"/>
    <x v="1"/>
    <s v="No"/>
    <n v="0"/>
    <n v="0"/>
    <n v="5"/>
  </r>
  <r>
    <n v="3349"/>
    <s v="Geraldo Ribeiro"/>
    <x v="0"/>
    <d v="2024-06-23T00:00:00"/>
    <x v="1"/>
    <n v="15"/>
    <x v="0"/>
    <s v="Yes"/>
    <x v="0"/>
    <s v="Yes"/>
    <n v="20"/>
    <n v="3"/>
    <n v="62"/>
  </r>
  <r>
    <n v="3350"/>
    <s v="Hélio Martins"/>
    <x v="2"/>
    <d v="2024-06-24T00:00:00"/>
    <x v="0"/>
    <n v="10"/>
    <x v="1"/>
    <s v="No"/>
    <x v="1"/>
    <s v="Yes"/>
    <n v="20"/>
    <n v="15"/>
    <n v="15"/>
  </r>
  <r>
    <n v="3351"/>
    <s v="Íris Santos"/>
    <x v="1"/>
    <d v="2024-06-25T00:00:00"/>
    <x v="1"/>
    <n v="5"/>
    <x v="0"/>
    <s v="No"/>
    <x v="1"/>
    <s v="No"/>
    <n v="0"/>
    <n v="1"/>
    <n v="4"/>
  </r>
  <r>
    <n v="3352"/>
    <s v="João Marcelo"/>
    <x v="0"/>
    <d v="2024-06-26T00:00:00"/>
    <x v="0"/>
    <n v="15"/>
    <x v="2"/>
    <s v="Yes"/>
    <x v="0"/>
    <s v="Yes"/>
    <n v="20"/>
    <n v="7"/>
    <n v="58"/>
  </r>
  <r>
    <n v="3353"/>
    <s v="Larissa Gomes"/>
    <x v="2"/>
    <d v="2024-06-27T00:00:00"/>
    <x v="1"/>
    <n v="10"/>
    <x v="0"/>
    <s v="No"/>
    <x v="1"/>
    <s v="Yes"/>
    <n v="20"/>
    <n v="10"/>
    <n v="20"/>
  </r>
  <r>
    <n v="3354"/>
    <s v="Márcio Silva"/>
    <x v="1"/>
    <d v="2024-06-28T00:00:00"/>
    <x v="0"/>
    <n v="5"/>
    <x v="1"/>
    <s v="No"/>
    <x v="1"/>
    <s v="No"/>
    <n v="0"/>
    <n v="0"/>
    <n v="5"/>
  </r>
  <r>
    <n v="3355"/>
    <s v="Nadia Costa"/>
    <x v="0"/>
    <d v="2024-06-29T00:00:00"/>
    <x v="1"/>
    <n v="15"/>
    <x v="0"/>
    <s v="Yes"/>
    <x v="0"/>
    <s v="Yes"/>
    <n v="20"/>
    <n v="20"/>
    <n v="45"/>
  </r>
  <r>
    <n v="3356"/>
    <s v="Oscar Almeida"/>
    <x v="2"/>
    <d v="2024-06-30T00:00:00"/>
    <x v="0"/>
    <n v="10"/>
    <x v="2"/>
    <s v="No"/>
    <x v="1"/>
    <s v="Yes"/>
    <n v="20"/>
    <n v="15"/>
    <n v="15"/>
  </r>
  <r>
    <n v="3357"/>
    <s v="Patricia Soares"/>
    <x v="1"/>
    <d v="2024-07-01T00:00:00"/>
    <x v="1"/>
    <n v="5"/>
    <x v="0"/>
    <s v="No"/>
    <x v="1"/>
    <s v="No"/>
    <n v="0"/>
    <n v="1"/>
    <n v="4"/>
  </r>
  <r>
    <n v="3358"/>
    <s v="Quênia Barros"/>
    <x v="0"/>
    <d v="2024-07-02T00:00:00"/>
    <x v="0"/>
    <n v="15"/>
    <x v="1"/>
    <s v="Yes"/>
    <x v="0"/>
    <s v="Yes"/>
    <n v="20"/>
    <n v="3"/>
    <n v="62"/>
  </r>
  <r>
    <n v="3359"/>
    <s v="Rafael Torres"/>
    <x v="2"/>
    <d v="2024-07-03T00:00:00"/>
    <x v="1"/>
    <n v="10"/>
    <x v="0"/>
    <s v="No"/>
    <x v="1"/>
    <s v="Yes"/>
    <n v="20"/>
    <n v="10"/>
    <n v="20"/>
  </r>
  <r>
    <n v="3360"/>
    <s v="Silvia Nascimento"/>
    <x v="1"/>
    <d v="2024-07-04T00:00:00"/>
    <x v="0"/>
    <n v="5"/>
    <x v="2"/>
    <s v="No"/>
    <x v="1"/>
    <s v="No"/>
    <n v="0"/>
    <n v="0"/>
    <n v="5"/>
  </r>
  <r>
    <n v="3361"/>
    <s v="Tiago Mendes"/>
    <x v="0"/>
    <d v="2024-07-05T00:00:00"/>
    <x v="1"/>
    <n v="15"/>
    <x v="0"/>
    <s v="Yes"/>
    <x v="0"/>
    <s v="Yes"/>
    <n v="20"/>
    <n v="15"/>
    <n v="50"/>
  </r>
  <r>
    <n v="3362"/>
    <s v="Ursula Silva"/>
    <x v="2"/>
    <d v="2024-07-06T00:00:00"/>
    <x v="0"/>
    <n v="10"/>
    <x v="1"/>
    <s v="No"/>
    <x v="1"/>
    <s v="Yes"/>
    <n v="20"/>
    <n v="15"/>
    <n v="15"/>
  </r>
  <r>
    <n v="3363"/>
    <s v="Vanessa Moraes"/>
    <x v="1"/>
    <d v="2024-07-07T00:00:00"/>
    <x v="1"/>
    <n v="5"/>
    <x v="0"/>
    <s v="No"/>
    <x v="1"/>
    <s v="No"/>
    <n v="0"/>
    <n v="1"/>
    <n v="4"/>
  </r>
  <r>
    <n v="3364"/>
    <s v="Waldir Junior"/>
    <x v="0"/>
    <d v="2024-07-08T00:00:00"/>
    <x v="0"/>
    <n v="15"/>
    <x v="2"/>
    <s v="Yes"/>
    <x v="0"/>
    <s v="Yes"/>
    <n v="20"/>
    <n v="7"/>
    <n v="58"/>
  </r>
  <r>
    <n v="3365"/>
    <s v="Xavier Lopes"/>
    <x v="2"/>
    <d v="2024-07-09T00:00:00"/>
    <x v="1"/>
    <n v="10"/>
    <x v="0"/>
    <s v="No"/>
    <x v="1"/>
    <s v="Yes"/>
    <n v="20"/>
    <n v="10"/>
    <n v="20"/>
  </r>
  <r>
    <n v="3366"/>
    <s v="Yolanda Freitas"/>
    <x v="1"/>
    <d v="2024-07-10T00:00:00"/>
    <x v="0"/>
    <n v="5"/>
    <x v="0"/>
    <s v="No"/>
    <x v="1"/>
    <s v="No"/>
    <n v="0"/>
    <n v="0"/>
    <n v="5"/>
  </r>
  <r>
    <n v="3367"/>
    <s v="Zacarias Nunes"/>
    <x v="0"/>
    <d v="2024-07-11T00:00:00"/>
    <x v="1"/>
    <n v="15"/>
    <x v="2"/>
    <s v="Yes"/>
    <x v="0"/>
    <s v="Yes"/>
    <n v="20"/>
    <n v="7"/>
    <n v="58"/>
  </r>
  <r>
    <n v="3368"/>
    <s v="Ana Clara Barreto"/>
    <x v="2"/>
    <d v="2024-07-12T00:00:00"/>
    <x v="0"/>
    <n v="10"/>
    <x v="1"/>
    <s v="No"/>
    <x v="1"/>
    <s v="Yes"/>
    <n v="20"/>
    <n v="10"/>
    <n v="20"/>
  </r>
  <r>
    <n v="3369"/>
    <s v="Bruno Henrique"/>
    <x v="1"/>
    <d v="2024-07-13T00:00:00"/>
    <x v="1"/>
    <n v="5"/>
    <x v="2"/>
    <s v="No"/>
    <x v="1"/>
    <s v="No"/>
    <n v="0"/>
    <n v="1"/>
    <n v="4"/>
  </r>
  <r>
    <n v="3370"/>
    <s v="Carlos Eduardo"/>
    <x v="0"/>
    <d v="2024-07-14T00:00:00"/>
    <x v="0"/>
    <n v="15"/>
    <x v="0"/>
    <s v="Yes"/>
    <x v="0"/>
    <s v="Yes"/>
    <n v="20"/>
    <n v="15"/>
    <n v="50"/>
  </r>
  <r>
    <n v="3371"/>
    <s v="Débora Lima"/>
    <x v="2"/>
    <d v="2024-07-15T00:00:00"/>
    <x v="1"/>
    <n v="10"/>
    <x v="0"/>
    <s v="No"/>
    <x v="1"/>
    <s v="Yes"/>
    <n v="20"/>
    <n v="5"/>
    <n v="25"/>
  </r>
  <r>
    <n v="3372"/>
    <s v="Elisa Neves"/>
    <x v="1"/>
    <d v="2024-07-16T00:00:00"/>
    <x v="0"/>
    <n v="5"/>
    <x v="1"/>
    <s v="No"/>
    <x v="1"/>
    <s v="No"/>
    <n v="0"/>
    <n v="0"/>
    <n v="5"/>
  </r>
  <r>
    <n v="3373"/>
    <s v="Fabiano Gomes"/>
    <x v="0"/>
    <d v="2024-07-17T00:00:00"/>
    <x v="1"/>
    <n v="15"/>
    <x v="2"/>
    <s v="Yes"/>
    <x v="0"/>
    <s v="Yes"/>
    <n v="20"/>
    <n v="20"/>
    <n v="45"/>
  </r>
  <r>
    <n v="3374"/>
    <s v="Gisele Oliveira"/>
    <x v="2"/>
    <d v="2024-07-18T00:00:00"/>
    <x v="0"/>
    <n v="10"/>
    <x v="2"/>
    <s v="No"/>
    <x v="1"/>
    <s v="Yes"/>
    <n v="20"/>
    <n v="12"/>
    <n v="18"/>
  </r>
  <r>
    <n v="3375"/>
    <s v="Héctor Silva"/>
    <x v="1"/>
    <d v="2024-07-19T00:00:00"/>
    <x v="1"/>
    <n v="5"/>
    <x v="0"/>
    <s v="No"/>
    <x v="1"/>
    <s v="No"/>
    <n v="0"/>
    <n v="2"/>
    <n v="3"/>
  </r>
  <r>
    <n v="3376"/>
    <s v="Igor Martins"/>
    <x v="0"/>
    <d v="2024-07-20T00:00:00"/>
    <x v="0"/>
    <n v="15"/>
    <x v="1"/>
    <s v="Yes"/>
    <x v="0"/>
    <s v="Yes"/>
    <n v="20"/>
    <n v="5"/>
    <n v="60"/>
  </r>
  <r>
    <n v="3377"/>
    <s v="Joana Figueiredo"/>
    <x v="2"/>
    <d v="2024-07-21T00:00:00"/>
    <x v="1"/>
    <n v="10"/>
    <x v="0"/>
    <s v="No"/>
    <x v="1"/>
    <s v="Yes"/>
    <n v="20"/>
    <n v="10"/>
    <n v="20"/>
  </r>
  <r>
    <n v="3378"/>
    <s v="Kleber Machado"/>
    <x v="1"/>
    <d v="2024-07-22T00:00:00"/>
    <x v="0"/>
    <n v="5"/>
    <x v="2"/>
    <s v="No"/>
    <x v="1"/>
    <s v="No"/>
    <n v="0"/>
    <n v="0"/>
    <n v="5"/>
  </r>
  <r>
    <n v="3379"/>
    <s v="Luciana Santos"/>
    <x v="0"/>
    <d v="2024-07-23T00:00:00"/>
    <x v="1"/>
    <n v="15"/>
    <x v="0"/>
    <s v="Yes"/>
    <x v="0"/>
    <s v="Yes"/>
    <n v="20"/>
    <n v="3"/>
    <n v="62"/>
  </r>
  <r>
    <n v="3380"/>
    <s v="Marcos Teixeira"/>
    <x v="2"/>
    <d v="2024-07-24T00:00:00"/>
    <x v="0"/>
    <n v="10"/>
    <x v="1"/>
    <s v="No"/>
    <x v="1"/>
    <s v="Yes"/>
    <n v="20"/>
    <n v="15"/>
    <n v="15"/>
  </r>
  <r>
    <n v="3381"/>
    <s v="Natalia Costa"/>
    <x v="1"/>
    <d v="2024-07-25T00:00:00"/>
    <x v="1"/>
    <n v="5"/>
    <x v="0"/>
    <s v="No"/>
    <x v="1"/>
    <s v="No"/>
    <n v="0"/>
    <n v="1"/>
    <n v="4"/>
  </r>
  <r>
    <n v="3382"/>
    <s v="Oscar Ribeiro"/>
    <x v="0"/>
    <d v="2024-07-26T00:00:00"/>
    <x v="0"/>
    <n v="15"/>
    <x v="2"/>
    <s v="Yes"/>
    <x v="0"/>
    <s v="Yes"/>
    <n v="20"/>
    <n v="7"/>
    <n v="58"/>
  </r>
  <r>
    <n v="3383"/>
    <s v="Patricia Almeida"/>
    <x v="2"/>
    <d v="2024-07-27T00:00:00"/>
    <x v="1"/>
    <n v="10"/>
    <x v="0"/>
    <s v="No"/>
    <x v="1"/>
    <s v="Yes"/>
    <n v="20"/>
    <n v="10"/>
    <n v="20"/>
  </r>
  <r>
    <n v="3384"/>
    <s v="Quirino Junior"/>
    <x v="1"/>
    <d v="2024-07-28T00:00:00"/>
    <x v="0"/>
    <n v="5"/>
    <x v="1"/>
    <s v="No"/>
    <x v="1"/>
    <s v="No"/>
    <n v="0"/>
    <n v="0"/>
    <n v="5"/>
  </r>
  <r>
    <n v="3385"/>
    <s v="Renata Machado"/>
    <x v="0"/>
    <d v="2024-07-29T00:00:00"/>
    <x v="1"/>
    <n v="15"/>
    <x v="0"/>
    <s v="Yes"/>
    <x v="0"/>
    <s v="Yes"/>
    <n v="20"/>
    <n v="20"/>
    <n v="45"/>
  </r>
  <r>
    <n v="3386"/>
    <s v="Sônia Alves"/>
    <x v="2"/>
    <d v="2024-07-30T00:00:00"/>
    <x v="0"/>
    <n v="10"/>
    <x v="2"/>
    <s v="No"/>
    <x v="1"/>
    <s v="Yes"/>
    <n v="20"/>
    <n v="15"/>
    <n v="15"/>
  </r>
  <r>
    <n v="3387"/>
    <s v="Tiago Nunes"/>
    <x v="1"/>
    <d v="2024-07-31T00:00:00"/>
    <x v="1"/>
    <n v="5"/>
    <x v="0"/>
    <s v="No"/>
    <x v="1"/>
    <s v="No"/>
    <n v="0"/>
    <n v="1"/>
    <n v="4"/>
  </r>
  <r>
    <n v="3388"/>
    <s v="Ulysses Pereira"/>
    <x v="0"/>
    <d v="2024-08-01T00:00:00"/>
    <x v="0"/>
    <n v="15"/>
    <x v="1"/>
    <s v="Yes"/>
    <x v="0"/>
    <s v="Yes"/>
    <n v="20"/>
    <n v="3"/>
    <n v="62"/>
  </r>
  <r>
    <n v="3389"/>
    <s v="Vanessa Lima"/>
    <x v="2"/>
    <d v="2024-08-02T00:00:00"/>
    <x v="1"/>
    <n v="10"/>
    <x v="0"/>
    <s v="No"/>
    <x v="1"/>
    <s v="Yes"/>
    <n v="20"/>
    <n v="10"/>
    <n v="20"/>
  </r>
  <r>
    <n v="3390"/>
    <s v="Wagner Santos"/>
    <x v="1"/>
    <d v="2024-08-03T00:00:00"/>
    <x v="0"/>
    <n v="5"/>
    <x v="2"/>
    <s v="No"/>
    <x v="1"/>
    <s v="No"/>
    <n v="0"/>
    <n v="0"/>
    <n v="5"/>
  </r>
  <r>
    <n v="3391"/>
    <s v="Xuxa Meneghel"/>
    <x v="0"/>
    <d v="2024-08-04T00:00:00"/>
    <x v="1"/>
    <n v="15"/>
    <x v="0"/>
    <s v="Yes"/>
    <x v="0"/>
    <s v="Yes"/>
    <n v="20"/>
    <n v="15"/>
    <n v="50"/>
  </r>
  <r>
    <n v="3392"/>
    <s v="Yasmin Silva"/>
    <x v="2"/>
    <d v="2024-08-05T00:00:00"/>
    <x v="0"/>
    <n v="10"/>
    <x v="1"/>
    <s v="No"/>
    <x v="1"/>
    <s v="Yes"/>
    <n v="20"/>
    <n v="15"/>
    <n v="15"/>
  </r>
  <r>
    <n v="3393"/>
    <s v="Zacarias de Souza"/>
    <x v="1"/>
    <d v="2024-08-06T00:00:00"/>
    <x v="1"/>
    <n v="5"/>
    <x v="0"/>
    <s v="No"/>
    <x v="1"/>
    <s v="No"/>
    <n v="0"/>
    <n v="1"/>
    <n v="4"/>
  </r>
  <r>
    <n v="3394"/>
    <s v="André Lima"/>
    <x v="0"/>
    <d v="2024-08-07T00:00:00"/>
    <x v="0"/>
    <n v="15"/>
    <x v="2"/>
    <s v="Yes"/>
    <x v="0"/>
    <s v="Yes"/>
    <n v="20"/>
    <n v="7"/>
    <n v="58"/>
  </r>
  <r>
    <n v="3395"/>
    <s v="Bianca Freitas"/>
    <x v="2"/>
    <d v="2024-08-08T00:00:00"/>
    <x v="1"/>
    <n v="10"/>
    <x v="0"/>
    <s v="No"/>
    <x v="1"/>
    <s v="Yes"/>
    <n v="20"/>
    <n v="10"/>
    <n v="20"/>
  </r>
  <r>
    <n v="3396"/>
    <s v="Caio Mendes"/>
    <x v="1"/>
    <d v="2024-08-09T00:00:00"/>
    <x v="0"/>
    <n v="5"/>
    <x v="1"/>
    <s v="No"/>
    <x v="1"/>
    <s v="No"/>
    <n v="0"/>
    <n v="0"/>
    <n v="5"/>
  </r>
  <r>
    <n v="3397"/>
    <s v="Daniela Moura"/>
    <x v="0"/>
    <d v="2024-08-10T00:00:00"/>
    <x v="1"/>
    <n v="15"/>
    <x v="0"/>
    <s v="Yes"/>
    <x v="0"/>
    <s v="Yes"/>
    <n v="20"/>
    <n v="20"/>
    <n v="45"/>
  </r>
  <r>
    <n v="3398"/>
    <s v="Eduardo Costa"/>
    <x v="2"/>
    <d v="2024-08-11T00:00:00"/>
    <x v="0"/>
    <n v="10"/>
    <x v="2"/>
    <s v="No"/>
    <x v="1"/>
    <s v="Yes"/>
    <n v="20"/>
    <n v="15"/>
    <n v="15"/>
  </r>
  <r>
    <n v="3399"/>
    <s v="Fernanda Gomes"/>
    <x v="1"/>
    <d v="2024-08-12T00:00:00"/>
    <x v="1"/>
    <n v="5"/>
    <x v="0"/>
    <s v="No"/>
    <x v="1"/>
    <s v="No"/>
    <n v="0"/>
    <n v="1"/>
    <n v="4"/>
  </r>
  <r>
    <n v="3400"/>
    <s v="Guilherme Souza"/>
    <x v="0"/>
    <d v="2024-08-13T00:00:00"/>
    <x v="0"/>
    <n v="15"/>
    <x v="1"/>
    <s v="Yes"/>
    <x v="0"/>
    <s v="Yes"/>
    <n v="20"/>
    <n v="5"/>
    <n v="60"/>
  </r>
  <r>
    <n v="3401"/>
    <s v="Helena Ribeiro"/>
    <x v="2"/>
    <d v="2024-08-14T00:00:00"/>
    <x v="1"/>
    <n v="10"/>
    <x v="0"/>
    <s v="No"/>
    <x v="1"/>
    <s v="Yes"/>
    <n v="20"/>
    <n v="10"/>
    <n v="20"/>
  </r>
  <r>
    <n v="3402"/>
    <s v="Igor Santos"/>
    <x v="1"/>
    <d v="2024-08-15T00:00:00"/>
    <x v="0"/>
    <n v="5"/>
    <x v="2"/>
    <s v="No"/>
    <x v="1"/>
    <s v="No"/>
    <n v="0"/>
    <n v="0"/>
    <n v="5"/>
  </r>
  <r>
    <n v="3403"/>
    <s v="João Carvalho"/>
    <x v="0"/>
    <d v="2024-08-16T00:00:00"/>
    <x v="1"/>
    <n v="15"/>
    <x v="0"/>
    <s v="Yes"/>
    <x v="0"/>
    <s v="Yes"/>
    <n v="20"/>
    <n v="3"/>
    <n v="62"/>
  </r>
  <r>
    <n v="3404"/>
    <s v="Klara Fagundes"/>
    <x v="2"/>
    <d v="2024-08-17T00:00:00"/>
    <x v="0"/>
    <n v="10"/>
    <x v="1"/>
    <s v="No"/>
    <x v="1"/>
    <s v="Yes"/>
    <n v="20"/>
    <n v="15"/>
    <n v="15"/>
  </r>
  <r>
    <n v="3405"/>
    <s v="Lúcia Mendonça"/>
    <x v="1"/>
    <d v="2024-08-18T00:00:00"/>
    <x v="1"/>
    <n v="5"/>
    <x v="0"/>
    <s v="No"/>
    <x v="1"/>
    <s v="No"/>
    <n v="0"/>
    <n v="1"/>
    <n v="4"/>
  </r>
  <r>
    <n v="3406"/>
    <s v="Marcelo Novaes"/>
    <x v="1"/>
    <d v="2024-08-19T00:00:00"/>
    <x v="0"/>
    <n v="5"/>
    <x v="0"/>
    <s v="No"/>
    <x v="1"/>
    <s v="No"/>
    <n v="0"/>
    <n v="0"/>
    <n v="5"/>
  </r>
  <r>
    <n v="3407"/>
    <s v="Nina Pacheco"/>
    <x v="0"/>
    <d v="2024-08-20T00:00:00"/>
    <x v="1"/>
    <n v="15"/>
    <x v="2"/>
    <s v="Yes"/>
    <x v="0"/>
    <s v="Yes"/>
    <n v="20"/>
    <n v="7"/>
    <n v="58"/>
  </r>
  <r>
    <n v="3408"/>
    <s v="Olívia Rios"/>
    <x v="2"/>
    <d v="2024-08-21T00:00:00"/>
    <x v="0"/>
    <n v="10"/>
    <x v="1"/>
    <s v="No"/>
    <x v="1"/>
    <s v="Yes"/>
    <n v="20"/>
    <n v="10"/>
    <n v="20"/>
  </r>
  <r>
    <n v="3409"/>
    <s v="Paulo Quintana"/>
    <x v="1"/>
    <d v="2024-08-22T00:00:00"/>
    <x v="1"/>
    <n v="5"/>
    <x v="2"/>
    <s v="No"/>
    <x v="1"/>
    <s v="No"/>
    <n v="0"/>
    <n v="1"/>
    <n v="4"/>
  </r>
  <r>
    <n v="3410"/>
    <s v="Raquel Domingos"/>
    <x v="0"/>
    <d v="2024-08-23T00:00:00"/>
    <x v="0"/>
    <n v="15"/>
    <x v="0"/>
    <s v="Yes"/>
    <x v="0"/>
    <s v="Yes"/>
    <n v="20"/>
    <n v="15"/>
    <n v="50"/>
  </r>
  <r>
    <n v="3411"/>
    <s v="Samuel Viana"/>
    <x v="2"/>
    <d v="2024-08-24T00:00:00"/>
    <x v="1"/>
    <n v="10"/>
    <x v="0"/>
    <s v="No"/>
    <x v="1"/>
    <s v="Yes"/>
    <n v="20"/>
    <n v="5"/>
    <n v="25"/>
  </r>
  <r>
    <n v="3412"/>
    <s v="Tatiane Rocha"/>
    <x v="1"/>
    <d v="2024-08-25T00:00:00"/>
    <x v="0"/>
    <n v="5"/>
    <x v="1"/>
    <s v="No"/>
    <x v="1"/>
    <s v="No"/>
    <n v="0"/>
    <n v="0"/>
    <n v="5"/>
  </r>
  <r>
    <n v="3413"/>
    <s v="Ulysses Farias"/>
    <x v="0"/>
    <d v="2024-08-26T00:00:00"/>
    <x v="1"/>
    <n v="15"/>
    <x v="2"/>
    <s v="Yes"/>
    <x v="0"/>
    <s v="Yes"/>
    <n v="20"/>
    <n v="20"/>
    <n v="45"/>
  </r>
  <r>
    <n v="3414"/>
    <s v="Vanessa Moreira"/>
    <x v="2"/>
    <d v="2024-08-27T00:00:00"/>
    <x v="0"/>
    <n v="10"/>
    <x v="2"/>
    <s v="No"/>
    <x v="1"/>
    <s v="Yes"/>
    <n v="20"/>
    <n v="12"/>
    <n v="18"/>
  </r>
  <r>
    <n v="3415"/>
    <s v="William Carvalho"/>
    <x v="1"/>
    <d v="2024-08-28T00:00:00"/>
    <x v="1"/>
    <n v="5"/>
    <x v="0"/>
    <s v="No"/>
    <x v="1"/>
    <s v="No"/>
    <n v="0"/>
    <n v="2"/>
    <n v="3"/>
  </r>
  <r>
    <n v="3416"/>
    <s v="Ximena Barros"/>
    <x v="0"/>
    <d v="2024-08-29T00:00:00"/>
    <x v="0"/>
    <n v="15"/>
    <x v="1"/>
    <s v="Yes"/>
    <x v="0"/>
    <s v="Yes"/>
    <n v="20"/>
    <n v="5"/>
    <n v="60"/>
  </r>
  <r>
    <n v="3417"/>
    <s v="Yara Machado"/>
    <x v="2"/>
    <d v="2024-08-30T00:00:00"/>
    <x v="1"/>
    <n v="10"/>
    <x v="0"/>
    <s v="No"/>
    <x v="1"/>
    <s v="Yes"/>
    <n v="20"/>
    <n v="10"/>
    <n v="20"/>
  </r>
  <r>
    <n v="3418"/>
    <s v="Zacarias Costa"/>
    <x v="1"/>
    <d v="2024-08-31T00:00:00"/>
    <x v="0"/>
    <n v="5"/>
    <x v="2"/>
    <s v="No"/>
    <x v="1"/>
    <s v="No"/>
    <n v="0"/>
    <n v="0"/>
    <n v="5"/>
  </r>
  <r>
    <n v="3419"/>
    <s v="André Lopes"/>
    <x v="0"/>
    <d v="2024-09-01T00:00:00"/>
    <x v="1"/>
    <n v="15"/>
    <x v="0"/>
    <s v="Yes"/>
    <x v="0"/>
    <s v="Yes"/>
    <n v="20"/>
    <n v="3"/>
    <n v="62"/>
  </r>
  <r>
    <n v="3420"/>
    <s v="Beatriz Souza"/>
    <x v="2"/>
    <d v="2024-09-02T00:00:00"/>
    <x v="0"/>
    <n v="10"/>
    <x v="1"/>
    <s v="No"/>
    <x v="1"/>
    <s v="Yes"/>
    <n v="20"/>
    <n v="15"/>
    <n v="15"/>
  </r>
  <r>
    <n v="3421"/>
    <s v="Caio Pereira"/>
    <x v="1"/>
    <d v="2024-09-03T00:00:00"/>
    <x v="1"/>
    <n v="5"/>
    <x v="0"/>
    <s v="No"/>
    <x v="1"/>
    <s v="No"/>
    <n v="0"/>
    <n v="1"/>
    <n v="4"/>
  </r>
  <r>
    <n v="3422"/>
    <s v="Daniela Araújo"/>
    <x v="0"/>
    <d v="2024-09-04T00:00:00"/>
    <x v="0"/>
    <n v="15"/>
    <x v="2"/>
    <s v="Yes"/>
    <x v="0"/>
    <s v="Yes"/>
    <n v="20"/>
    <n v="7"/>
    <n v="58"/>
  </r>
  <r>
    <n v="3423"/>
    <s v="Eduardo Santos"/>
    <x v="2"/>
    <d v="2024-09-05T00:00:00"/>
    <x v="1"/>
    <n v="10"/>
    <x v="0"/>
    <s v="No"/>
    <x v="1"/>
    <s v="Yes"/>
    <n v="20"/>
    <n v="10"/>
    <n v="20"/>
  </r>
  <r>
    <n v="3424"/>
    <s v="Fernanda Lima"/>
    <x v="1"/>
    <d v="2024-09-06T00:00:00"/>
    <x v="0"/>
    <n v="5"/>
    <x v="1"/>
    <s v="No"/>
    <x v="1"/>
    <s v="No"/>
    <n v="0"/>
    <n v="0"/>
    <n v="5"/>
  </r>
  <r>
    <n v="3425"/>
    <s v="Gabriel Teixeira"/>
    <x v="0"/>
    <d v="2024-09-07T00:00:00"/>
    <x v="1"/>
    <n v="15"/>
    <x v="0"/>
    <s v="Yes"/>
    <x v="0"/>
    <s v="Yes"/>
    <n v="20"/>
    <n v="20"/>
    <n v="45"/>
  </r>
  <r>
    <n v="3426"/>
    <s v="Helena Ribeiro"/>
    <x v="2"/>
    <d v="2024-09-08T00:00:00"/>
    <x v="0"/>
    <n v="10"/>
    <x v="2"/>
    <s v="No"/>
    <x v="1"/>
    <s v="Yes"/>
    <n v="20"/>
    <n v="15"/>
    <n v="15"/>
  </r>
  <r>
    <n v="3427"/>
    <s v="Igor Mendes"/>
    <x v="1"/>
    <d v="2024-09-09T00:00:00"/>
    <x v="1"/>
    <n v="5"/>
    <x v="0"/>
    <s v="No"/>
    <x v="1"/>
    <s v="No"/>
    <n v="0"/>
    <n v="1"/>
    <n v="4"/>
  </r>
  <r>
    <n v="3428"/>
    <s v="Joana Silveira"/>
    <x v="0"/>
    <d v="2024-09-10T00:00:00"/>
    <x v="0"/>
    <n v="15"/>
    <x v="1"/>
    <s v="Yes"/>
    <x v="0"/>
    <s v="Yes"/>
    <n v="20"/>
    <n v="3"/>
    <n v="62"/>
  </r>
  <r>
    <n v="3429"/>
    <s v="Lucas Martins"/>
    <x v="2"/>
    <d v="2024-09-11T00:00:00"/>
    <x v="1"/>
    <n v="10"/>
    <x v="0"/>
    <s v="No"/>
    <x v="1"/>
    <s v="Yes"/>
    <n v="20"/>
    <n v="10"/>
    <n v="20"/>
  </r>
  <r>
    <n v="3430"/>
    <s v="Marcela Gouveia"/>
    <x v="1"/>
    <d v="2024-09-12T00:00:00"/>
    <x v="0"/>
    <n v="5"/>
    <x v="2"/>
    <s v="No"/>
    <x v="1"/>
    <s v="No"/>
    <n v="0"/>
    <n v="0"/>
    <n v="5"/>
  </r>
  <r>
    <n v="3431"/>
    <s v="Nicolas Borges"/>
    <x v="0"/>
    <d v="2024-09-13T00:00:00"/>
    <x v="1"/>
    <n v="15"/>
    <x v="0"/>
    <s v="Yes"/>
    <x v="0"/>
    <s v="Yes"/>
    <n v="20"/>
    <n v="15"/>
    <n v="50"/>
  </r>
  <r>
    <n v="3432"/>
    <s v="Olivia Freitas"/>
    <x v="2"/>
    <d v="2024-09-14T00:00:00"/>
    <x v="0"/>
    <n v="10"/>
    <x v="1"/>
    <s v="No"/>
    <x v="1"/>
    <s v="Yes"/>
    <n v="20"/>
    <n v="15"/>
    <n v="15"/>
  </r>
  <r>
    <n v="3433"/>
    <s v="Paulo Nogueira"/>
    <x v="1"/>
    <d v="2024-09-15T00:00:00"/>
    <x v="1"/>
    <n v="5"/>
    <x v="0"/>
    <s v="No"/>
    <x v="1"/>
    <s v="No"/>
    <n v="0"/>
    <n v="1"/>
    <n v="4"/>
  </r>
  <r>
    <n v="3434"/>
    <s v="Raquel Andrade"/>
    <x v="0"/>
    <d v="2024-09-16T00:00:00"/>
    <x v="0"/>
    <n v="15"/>
    <x v="2"/>
    <s v="Yes"/>
    <x v="0"/>
    <s v="Yes"/>
    <n v="20"/>
    <n v="7"/>
    <n v="58"/>
  </r>
  <r>
    <n v="3435"/>
    <s v="Sônia Carvalho"/>
    <x v="2"/>
    <d v="2024-09-17T00:00:00"/>
    <x v="1"/>
    <n v="10"/>
    <x v="0"/>
    <s v="No"/>
    <x v="1"/>
    <s v="Yes"/>
    <n v="20"/>
    <n v="10"/>
    <n v="20"/>
  </r>
  <r>
    <n v="3436"/>
    <s v="Tiago Rodrigues"/>
    <x v="1"/>
    <d v="2024-09-18T00:00:00"/>
    <x v="0"/>
    <n v="5"/>
    <x v="0"/>
    <s v="No"/>
    <x v="1"/>
    <s v="No"/>
    <n v="0"/>
    <n v="0"/>
    <n v="5"/>
  </r>
  <r>
    <n v="3437"/>
    <s v="Ursula Monteiro"/>
    <x v="0"/>
    <d v="2024-09-19T00:00:00"/>
    <x v="1"/>
    <n v="15"/>
    <x v="2"/>
    <s v="Yes"/>
    <x v="0"/>
    <s v="Yes"/>
    <n v="20"/>
    <n v="7"/>
    <n v="58"/>
  </r>
  <r>
    <n v="3438"/>
    <s v="Vanessa Pereira"/>
    <x v="2"/>
    <d v="2024-09-20T00:00:00"/>
    <x v="0"/>
    <n v="10"/>
    <x v="1"/>
    <s v="No"/>
    <x v="1"/>
    <s v="Yes"/>
    <n v="20"/>
    <n v="10"/>
    <n v="20"/>
  </r>
  <r>
    <n v="3439"/>
    <s v="Walter Silva"/>
    <x v="1"/>
    <d v="2024-09-21T00:00:00"/>
    <x v="1"/>
    <n v="5"/>
    <x v="2"/>
    <s v="No"/>
    <x v="1"/>
    <s v="No"/>
    <n v="0"/>
    <n v="1"/>
    <n v="4"/>
  </r>
  <r>
    <n v="3440"/>
    <s v="Xavier Almeida"/>
    <x v="0"/>
    <d v="2024-09-22T00:00:00"/>
    <x v="0"/>
    <n v="15"/>
    <x v="0"/>
    <s v="Yes"/>
    <x v="0"/>
    <s v="Yes"/>
    <n v="20"/>
    <n v="15"/>
    <n v="50"/>
  </r>
  <r>
    <n v="3441"/>
    <s v="Yasmine Correia"/>
    <x v="2"/>
    <d v="2024-09-23T00:00:00"/>
    <x v="1"/>
    <n v="10"/>
    <x v="0"/>
    <s v="No"/>
    <x v="1"/>
    <s v="Yes"/>
    <n v="20"/>
    <n v="5"/>
    <n v="25"/>
  </r>
  <r>
    <n v="3442"/>
    <s v="Zacarias Almeida"/>
    <x v="1"/>
    <d v="2024-09-24T00:00:00"/>
    <x v="0"/>
    <n v="5"/>
    <x v="1"/>
    <s v="No"/>
    <x v="1"/>
    <s v="No"/>
    <n v="0"/>
    <n v="0"/>
    <n v="5"/>
  </r>
  <r>
    <n v="3443"/>
    <s v="Amanda Costa"/>
    <x v="0"/>
    <d v="2024-09-25T00:00:00"/>
    <x v="1"/>
    <n v="15"/>
    <x v="2"/>
    <s v="Yes"/>
    <x v="0"/>
    <s v="Yes"/>
    <n v="20"/>
    <n v="20"/>
    <n v="45"/>
  </r>
  <r>
    <n v="3444"/>
    <s v="Bruno Ferreira"/>
    <x v="2"/>
    <d v="2024-09-26T00:00:00"/>
    <x v="0"/>
    <n v="10"/>
    <x v="2"/>
    <s v="No"/>
    <x v="1"/>
    <s v="Yes"/>
    <n v="20"/>
    <n v="12"/>
    <n v="18"/>
  </r>
  <r>
    <n v="3445"/>
    <s v="Carla Dias"/>
    <x v="1"/>
    <d v="2024-09-27T00:00:00"/>
    <x v="1"/>
    <n v="5"/>
    <x v="0"/>
    <s v="No"/>
    <x v="1"/>
    <s v="No"/>
    <n v="0"/>
    <n v="2"/>
    <n v="3"/>
  </r>
  <r>
    <n v="3446"/>
    <s v="Diogo Martins"/>
    <x v="0"/>
    <d v="2024-09-28T00:00:00"/>
    <x v="0"/>
    <n v="15"/>
    <x v="1"/>
    <s v="Yes"/>
    <x v="0"/>
    <s v="Yes"/>
    <n v="20"/>
    <n v="5"/>
    <n v="60"/>
  </r>
  <r>
    <n v="3447"/>
    <s v="Elisa Campos"/>
    <x v="2"/>
    <d v="2024-09-29T00:00:00"/>
    <x v="1"/>
    <n v="10"/>
    <x v="0"/>
    <s v="No"/>
    <x v="1"/>
    <s v="Yes"/>
    <n v="20"/>
    <n v="10"/>
    <n v="20"/>
  </r>
  <r>
    <n v="3448"/>
    <s v="Fabiana Lima"/>
    <x v="1"/>
    <d v="2024-09-30T00:00:00"/>
    <x v="0"/>
    <n v="5"/>
    <x v="2"/>
    <s v="No"/>
    <x v="1"/>
    <s v="No"/>
    <n v="0"/>
    <n v="0"/>
    <n v="5"/>
  </r>
  <r>
    <n v="3449"/>
    <s v="Gabriel Santos"/>
    <x v="0"/>
    <d v="2024-10-01T00:00:00"/>
    <x v="1"/>
    <n v="15"/>
    <x v="0"/>
    <s v="Yes"/>
    <x v="0"/>
    <s v="Yes"/>
    <n v="20"/>
    <n v="3"/>
    <n v="62"/>
  </r>
  <r>
    <n v="3450"/>
    <s v="Helena Ferreira"/>
    <x v="2"/>
    <d v="2024-10-02T00:00:00"/>
    <x v="0"/>
    <n v="10"/>
    <x v="1"/>
    <s v="No"/>
    <x v="1"/>
    <s v="Yes"/>
    <n v="20"/>
    <n v="15"/>
    <n v="15"/>
  </r>
  <r>
    <n v="3451"/>
    <s v="Ígor Nunes"/>
    <x v="1"/>
    <d v="2024-10-03T00:00:00"/>
    <x v="1"/>
    <n v="5"/>
    <x v="0"/>
    <s v="No"/>
    <x v="1"/>
    <s v="No"/>
    <n v="0"/>
    <n v="1"/>
    <n v="4"/>
  </r>
  <r>
    <n v="3452"/>
    <s v="Joana Silveira"/>
    <x v="0"/>
    <d v="2024-10-04T00:00:00"/>
    <x v="0"/>
    <n v="15"/>
    <x v="2"/>
    <s v="Yes"/>
    <x v="0"/>
    <s v="Yes"/>
    <n v="20"/>
    <n v="7"/>
    <n v="58"/>
  </r>
  <r>
    <n v="3453"/>
    <s v="Kléber Oliveira"/>
    <x v="2"/>
    <d v="2024-10-05T00:00:00"/>
    <x v="1"/>
    <n v="10"/>
    <x v="0"/>
    <s v="No"/>
    <x v="1"/>
    <s v="Yes"/>
    <n v="20"/>
    <n v="10"/>
    <n v="20"/>
  </r>
  <r>
    <n v="3454"/>
    <s v="Luciana Morais"/>
    <x v="1"/>
    <d v="2024-10-06T00:00:00"/>
    <x v="0"/>
    <n v="5"/>
    <x v="1"/>
    <s v="No"/>
    <x v="1"/>
    <s v="No"/>
    <n v="0"/>
    <n v="0"/>
    <n v="5"/>
  </r>
  <r>
    <n v="3455"/>
    <s v="Marcos Vinícius"/>
    <x v="0"/>
    <d v="2024-10-07T00:00:00"/>
    <x v="1"/>
    <n v="15"/>
    <x v="0"/>
    <s v="Yes"/>
    <x v="0"/>
    <s v="Yes"/>
    <n v="20"/>
    <n v="20"/>
    <n v="45"/>
  </r>
  <r>
    <n v="3456"/>
    <s v="Natália Barros"/>
    <x v="2"/>
    <d v="2024-10-08T00:00:00"/>
    <x v="0"/>
    <n v="10"/>
    <x v="2"/>
    <s v="No"/>
    <x v="1"/>
    <s v="Yes"/>
    <n v="20"/>
    <n v="15"/>
    <n v="15"/>
  </r>
  <r>
    <n v="3457"/>
    <s v="Oscar Sampaio"/>
    <x v="1"/>
    <d v="2024-10-09T00:00:00"/>
    <x v="1"/>
    <n v="5"/>
    <x v="0"/>
    <s v="No"/>
    <x v="1"/>
    <s v="No"/>
    <n v="0"/>
    <n v="1"/>
    <n v="4"/>
  </r>
  <r>
    <n v="3458"/>
    <s v="Patrícia Leite"/>
    <x v="0"/>
    <d v="2024-10-10T00:00:00"/>
    <x v="0"/>
    <n v="15"/>
    <x v="1"/>
    <s v="Yes"/>
    <x v="0"/>
    <s v="Yes"/>
    <n v="20"/>
    <n v="3"/>
    <n v="62"/>
  </r>
  <r>
    <n v="3459"/>
    <s v="Quênia Rocha"/>
    <x v="2"/>
    <d v="2024-10-11T00:00:00"/>
    <x v="1"/>
    <n v="10"/>
    <x v="0"/>
    <s v="No"/>
    <x v="1"/>
    <s v="Yes"/>
    <n v="20"/>
    <n v="10"/>
    <n v="20"/>
  </r>
  <r>
    <n v="3460"/>
    <s v="Rafael Torres"/>
    <x v="1"/>
    <d v="2024-10-12T00:00:00"/>
    <x v="0"/>
    <n v="5"/>
    <x v="2"/>
    <s v="No"/>
    <x v="1"/>
    <s v="No"/>
    <n v="0"/>
    <n v="0"/>
    <n v="5"/>
  </r>
  <r>
    <n v="3461"/>
    <s v="Sandra Gouveia"/>
    <x v="0"/>
    <d v="2024-10-13T00:00:00"/>
    <x v="1"/>
    <n v="15"/>
    <x v="0"/>
    <s v="Yes"/>
    <x v="0"/>
    <s v="Yes"/>
    <n v="20"/>
    <n v="15"/>
    <n v="50"/>
  </r>
  <r>
    <n v="3462"/>
    <s v="Tiago Lacerda"/>
    <x v="2"/>
    <d v="2024-10-14T00:00:00"/>
    <x v="0"/>
    <n v="10"/>
    <x v="1"/>
    <s v="No"/>
    <x v="1"/>
    <s v="Yes"/>
    <n v="20"/>
    <n v="15"/>
    <n v="15"/>
  </r>
  <r>
    <n v="3463"/>
    <s v="Ursula Fonseca"/>
    <x v="1"/>
    <d v="2024-10-15T00:00:00"/>
    <x v="1"/>
    <n v="5"/>
    <x v="0"/>
    <s v="No"/>
    <x v="1"/>
    <s v="No"/>
    <n v="0"/>
    <n v="1"/>
    <n v="4"/>
  </r>
  <r>
    <n v="3464"/>
    <s v="Vanessa Andrade"/>
    <x v="0"/>
    <d v="2024-10-16T00:00:00"/>
    <x v="0"/>
    <n v="15"/>
    <x v="2"/>
    <s v="Yes"/>
    <x v="0"/>
    <s v="Yes"/>
    <n v="20"/>
    <n v="7"/>
    <n v="58"/>
  </r>
  <r>
    <n v="3465"/>
    <s v="William Castro"/>
    <x v="2"/>
    <d v="2024-10-17T00:00:00"/>
    <x v="1"/>
    <n v="10"/>
    <x v="0"/>
    <s v="No"/>
    <x v="1"/>
    <s v="Yes"/>
    <n v="20"/>
    <n v="10"/>
    <n v="20"/>
  </r>
  <r>
    <n v="3466"/>
    <s v="Xavier Monteiro"/>
    <x v="1"/>
    <d v="2024-10-18T00:00:00"/>
    <x v="0"/>
    <n v="5"/>
    <x v="1"/>
    <s v="No"/>
    <x v="1"/>
    <s v="No"/>
    <n v="0"/>
    <n v="0"/>
    <n v="5"/>
  </r>
  <r>
    <n v="3467"/>
    <s v="Yasmin Figueira"/>
    <x v="0"/>
    <d v="2024-10-19T00:00:00"/>
    <x v="1"/>
    <n v="15"/>
    <x v="0"/>
    <s v="Yes"/>
    <x v="0"/>
    <s v="Yes"/>
    <n v="20"/>
    <n v="15"/>
    <n v="50"/>
  </r>
  <r>
    <n v="3468"/>
    <s v="Zacarias Mendonça"/>
    <x v="2"/>
    <d v="2024-10-20T00:00:00"/>
    <x v="0"/>
    <n v="10"/>
    <x v="2"/>
    <s v="No"/>
    <x v="1"/>
    <s v="Yes"/>
    <n v="20"/>
    <n v="12"/>
    <n v="18"/>
  </r>
  <r>
    <n v="3469"/>
    <s v="Amanda Menezes"/>
    <x v="1"/>
    <d v="2024-10-21T00:00:00"/>
    <x v="1"/>
    <n v="5"/>
    <x v="0"/>
    <s v="No"/>
    <x v="1"/>
    <s v="No"/>
    <n v="0"/>
    <n v="2"/>
    <n v="3"/>
  </r>
  <r>
    <n v="3470"/>
    <s v="Bruno Santos"/>
    <x v="0"/>
    <d v="2024-10-22T00:00:00"/>
    <x v="0"/>
    <n v="15"/>
    <x v="1"/>
    <s v="Yes"/>
    <x v="0"/>
    <s v="Yes"/>
    <n v="20"/>
    <n v="5"/>
    <n v="60"/>
  </r>
  <r>
    <n v="3471"/>
    <s v="Carla Ferreira"/>
    <x v="2"/>
    <d v="2024-10-23T00:00:00"/>
    <x v="1"/>
    <n v="10"/>
    <x v="0"/>
    <s v="No"/>
    <x v="1"/>
    <s v="Yes"/>
    <n v="20"/>
    <n v="10"/>
    <n v="20"/>
  </r>
  <r>
    <n v="3472"/>
    <s v="Diogo Alves"/>
    <x v="1"/>
    <d v="2024-10-24T00:00:00"/>
    <x v="0"/>
    <n v="5"/>
    <x v="2"/>
    <s v="No"/>
    <x v="1"/>
    <s v="No"/>
    <n v="0"/>
    <n v="0"/>
    <n v="5"/>
  </r>
  <r>
    <n v="3473"/>
    <s v="Elisa Neves"/>
    <x v="0"/>
    <d v="2024-10-25T00:00:00"/>
    <x v="1"/>
    <n v="15"/>
    <x v="0"/>
    <s v="Yes"/>
    <x v="0"/>
    <s v="Yes"/>
    <n v="20"/>
    <n v="3"/>
    <n v="62"/>
  </r>
  <r>
    <n v="3474"/>
    <s v="Fabiano Pires"/>
    <x v="2"/>
    <d v="2024-10-26T00:00:00"/>
    <x v="0"/>
    <n v="10"/>
    <x v="1"/>
    <s v="No"/>
    <x v="1"/>
    <s v="Yes"/>
    <n v="20"/>
    <n v="15"/>
    <n v="15"/>
  </r>
  <r>
    <n v="3475"/>
    <s v="Giovana Ribeiro"/>
    <x v="1"/>
    <d v="2024-10-27T00:00:00"/>
    <x v="1"/>
    <n v="5"/>
    <x v="0"/>
    <s v="No"/>
    <x v="1"/>
    <s v="No"/>
    <n v="0"/>
    <n v="1"/>
    <n v="4"/>
  </r>
  <r>
    <n v="3476"/>
    <s v="Hélio Costa"/>
    <x v="0"/>
    <d v="2024-10-28T00:00:00"/>
    <x v="0"/>
    <n v="15"/>
    <x v="2"/>
    <s v="Yes"/>
    <x v="0"/>
    <s v="Yes"/>
    <n v="20"/>
    <n v="7"/>
    <n v="58"/>
  </r>
  <r>
    <n v="3477"/>
    <s v="Íris Loureiro"/>
    <x v="2"/>
    <d v="2024-10-29T00:00:00"/>
    <x v="1"/>
    <n v="10"/>
    <x v="0"/>
    <s v="No"/>
    <x v="1"/>
    <s v="Yes"/>
    <n v="20"/>
    <n v="10"/>
    <n v="20"/>
  </r>
  <r>
    <n v="3478"/>
    <s v="João Pereira"/>
    <x v="1"/>
    <d v="2024-10-30T00:00:00"/>
    <x v="0"/>
    <n v="5"/>
    <x v="1"/>
    <s v="No"/>
    <x v="1"/>
    <s v="No"/>
    <n v="0"/>
    <n v="0"/>
    <n v="5"/>
  </r>
  <r>
    <n v="3479"/>
    <s v="Klara Silva"/>
    <x v="0"/>
    <d v="2024-10-31T00:00:00"/>
    <x v="1"/>
    <n v="15"/>
    <x v="0"/>
    <s v="Yes"/>
    <x v="0"/>
    <s v="Yes"/>
    <n v="20"/>
    <n v="20"/>
    <n v="45"/>
  </r>
  <r>
    <n v="3480"/>
    <s v="Luciana Barros"/>
    <x v="2"/>
    <d v="2024-11-01T00:00:00"/>
    <x v="0"/>
    <n v="10"/>
    <x v="2"/>
    <s v="No"/>
    <x v="1"/>
    <s v="Yes"/>
    <n v="20"/>
    <n v="15"/>
    <n v="15"/>
  </r>
  <r>
    <n v="3481"/>
    <s v="Marcos Gomes"/>
    <x v="1"/>
    <d v="2024-11-02T00:00:00"/>
    <x v="1"/>
    <n v="5"/>
    <x v="0"/>
    <s v="No"/>
    <x v="1"/>
    <s v="No"/>
    <n v="0"/>
    <n v="1"/>
    <n v="4"/>
  </r>
  <r>
    <n v="3482"/>
    <s v="Natália Soares"/>
    <x v="0"/>
    <d v="2024-11-03T00:00:00"/>
    <x v="0"/>
    <n v="15"/>
    <x v="1"/>
    <s v="Yes"/>
    <x v="0"/>
    <s v="Yes"/>
    <n v="20"/>
    <n v="3"/>
    <n v="62"/>
  </r>
  <r>
    <n v="3483"/>
    <s v="Oscar Machado"/>
    <x v="2"/>
    <d v="2024-11-04T00:00:00"/>
    <x v="1"/>
    <n v="10"/>
    <x v="0"/>
    <s v="No"/>
    <x v="1"/>
    <s v="Yes"/>
    <n v="20"/>
    <n v="10"/>
    <n v="20"/>
  </r>
  <r>
    <n v="3484"/>
    <s v="Patrícia Lima"/>
    <x v="1"/>
    <d v="2024-11-05T00:00:00"/>
    <x v="0"/>
    <n v="5"/>
    <x v="2"/>
    <s v="No"/>
    <x v="1"/>
    <s v="No"/>
    <n v="0"/>
    <n v="0"/>
    <n v="5"/>
  </r>
  <r>
    <n v="3485"/>
    <s v="Quirino Neto"/>
    <x v="0"/>
    <d v="2024-11-06T00:00:00"/>
    <x v="1"/>
    <n v="15"/>
    <x v="0"/>
    <s v="Yes"/>
    <x v="0"/>
    <s v="Yes"/>
    <n v="20"/>
    <n v="15"/>
    <n v="50"/>
  </r>
  <r>
    <n v="3486"/>
    <s v="Rafaela Souza"/>
    <x v="1"/>
    <d v="2024-11-07T00:00:00"/>
    <x v="0"/>
    <n v="5"/>
    <x v="0"/>
    <s v="No"/>
    <x v="1"/>
    <s v="No"/>
    <n v="0"/>
    <n v="0"/>
    <n v="5"/>
  </r>
  <r>
    <n v="3487"/>
    <s v="Sandro Almeida"/>
    <x v="0"/>
    <d v="2024-11-08T00:00:00"/>
    <x v="1"/>
    <n v="15"/>
    <x v="2"/>
    <s v="Yes"/>
    <x v="0"/>
    <s v="Yes"/>
    <n v="20"/>
    <n v="7"/>
    <n v="58"/>
  </r>
  <r>
    <n v="3488"/>
    <s v="Tânia Ribeiro"/>
    <x v="2"/>
    <d v="2024-11-09T00:00:00"/>
    <x v="0"/>
    <n v="10"/>
    <x v="1"/>
    <s v="No"/>
    <x v="1"/>
    <s v="Yes"/>
    <n v="20"/>
    <n v="10"/>
    <n v="20"/>
  </r>
  <r>
    <n v="3489"/>
    <s v="Ugo Dias"/>
    <x v="1"/>
    <d v="2024-11-10T00:00:00"/>
    <x v="1"/>
    <n v="5"/>
    <x v="2"/>
    <s v="No"/>
    <x v="1"/>
    <s v="No"/>
    <n v="0"/>
    <n v="1"/>
    <n v="4"/>
  </r>
  <r>
    <n v="3490"/>
    <s v="Valéria Lima"/>
    <x v="0"/>
    <d v="2024-11-11T00:00:00"/>
    <x v="0"/>
    <n v="15"/>
    <x v="0"/>
    <s v="Yes"/>
    <x v="0"/>
    <s v="Yes"/>
    <n v="20"/>
    <n v="15"/>
    <n v="50"/>
  </r>
  <r>
    <n v="3491"/>
    <s v="William Fernandes"/>
    <x v="2"/>
    <d v="2024-11-12T00:00:00"/>
    <x v="1"/>
    <n v="10"/>
    <x v="0"/>
    <s v="No"/>
    <x v="1"/>
    <s v="Yes"/>
    <n v="20"/>
    <n v="5"/>
    <n v="25"/>
  </r>
  <r>
    <n v="3492"/>
    <s v="Xuxa Mendes"/>
    <x v="1"/>
    <d v="2024-11-13T00:00:00"/>
    <x v="0"/>
    <n v="5"/>
    <x v="1"/>
    <s v="No"/>
    <x v="1"/>
    <s v="No"/>
    <n v="0"/>
    <n v="0"/>
    <n v="5"/>
  </r>
  <r>
    <n v="3493"/>
    <s v="Ygor Farias"/>
    <x v="0"/>
    <d v="2024-11-14T00:00:00"/>
    <x v="1"/>
    <n v="15"/>
    <x v="2"/>
    <s v="Yes"/>
    <x v="0"/>
    <s v="Yes"/>
    <n v="20"/>
    <n v="20"/>
    <n v="45"/>
  </r>
  <r>
    <n v="3494"/>
    <s v="Zilda Barros"/>
    <x v="2"/>
    <d v="2024-11-15T00:00:00"/>
    <x v="0"/>
    <n v="10"/>
    <x v="2"/>
    <s v="No"/>
    <x v="1"/>
    <s v="Yes"/>
    <n v="20"/>
    <n v="12"/>
    <n v="18"/>
  </r>
  <r>
    <n v="3495"/>
    <s v="Amanda Santos"/>
    <x v="1"/>
    <d v="2024-11-16T00:00:00"/>
    <x v="1"/>
    <n v="5"/>
    <x v="0"/>
    <s v="No"/>
    <x v="1"/>
    <s v="No"/>
    <n v="0"/>
    <n v="2"/>
    <n v="3"/>
  </r>
  <r>
    <n v="3496"/>
    <s v="Bruno Costa"/>
    <x v="0"/>
    <d v="2024-11-17T00:00:00"/>
    <x v="0"/>
    <n v="15"/>
    <x v="1"/>
    <s v="Yes"/>
    <x v="0"/>
    <s v="Yes"/>
    <n v="20"/>
    <n v="5"/>
    <n v="60"/>
  </r>
  <r>
    <n v="3497"/>
    <s v="Carla Rodrigues"/>
    <x v="2"/>
    <d v="2024-11-18T00:00:00"/>
    <x v="1"/>
    <n v="10"/>
    <x v="0"/>
    <s v="No"/>
    <x v="1"/>
    <s v="Yes"/>
    <n v="20"/>
    <n v="10"/>
    <n v="20"/>
  </r>
  <r>
    <n v="3498"/>
    <s v="Diogo Pereira"/>
    <x v="1"/>
    <d v="2024-11-19T00:00:00"/>
    <x v="0"/>
    <n v="5"/>
    <x v="2"/>
    <s v="No"/>
    <x v="1"/>
    <s v="No"/>
    <n v="0"/>
    <n v="0"/>
    <n v="5"/>
  </r>
  <r>
    <n v="3499"/>
    <s v="Elisa Correia"/>
    <x v="0"/>
    <d v="2024-11-20T00:00:00"/>
    <x v="1"/>
    <n v="15"/>
    <x v="0"/>
    <s v="Yes"/>
    <x v="0"/>
    <s v="Yes"/>
    <n v="20"/>
    <n v="3"/>
    <n v="62"/>
  </r>
  <r>
    <n v="3500"/>
    <s v="Fábio Lourenço"/>
    <x v="2"/>
    <d v="2024-11-21T00:00:00"/>
    <x v="0"/>
    <n v="10"/>
    <x v="1"/>
    <s v="No"/>
    <x v="1"/>
    <s v="Yes"/>
    <n v="20"/>
    <n v="15"/>
    <n v="15"/>
  </r>
  <r>
    <n v="3501"/>
    <s v="Gabriela Neves"/>
    <x v="1"/>
    <d v="2024-11-22T00:00:00"/>
    <x v="1"/>
    <n v="5"/>
    <x v="0"/>
    <s v="No"/>
    <x v="1"/>
    <s v="No"/>
    <n v="0"/>
    <n v="1"/>
    <n v="4"/>
  </r>
  <r>
    <n v="3502"/>
    <s v="Henrique Gonçalves"/>
    <x v="0"/>
    <d v="2024-11-23T00:00:00"/>
    <x v="0"/>
    <n v="15"/>
    <x v="2"/>
    <s v="Yes"/>
    <x v="0"/>
    <s v="Yes"/>
    <n v="20"/>
    <n v="7"/>
    <n v="58"/>
  </r>
  <r>
    <n v="3503"/>
    <s v="Íris Santos"/>
    <x v="2"/>
    <d v="2024-11-24T00:00:00"/>
    <x v="1"/>
    <n v="10"/>
    <x v="0"/>
    <s v="No"/>
    <x v="1"/>
    <s v="Yes"/>
    <n v="20"/>
    <n v="10"/>
    <n v="20"/>
  </r>
  <r>
    <n v="3504"/>
    <s v="João Marcelo Alves"/>
    <x v="1"/>
    <d v="2024-11-25T00:00:00"/>
    <x v="0"/>
    <n v="5"/>
    <x v="1"/>
    <s v="No"/>
    <x v="1"/>
    <s v="No"/>
    <n v="0"/>
    <n v="0"/>
    <n v="5"/>
  </r>
  <r>
    <n v="3505"/>
    <s v="Klara Fonseca"/>
    <x v="0"/>
    <d v="2024-11-26T00:00:00"/>
    <x v="1"/>
    <n v="15"/>
    <x v="0"/>
    <s v="Yes"/>
    <x v="0"/>
    <s v="Yes"/>
    <n v="20"/>
    <n v="20"/>
    <n v="45"/>
  </r>
  <r>
    <n v="3506"/>
    <s v="Lucas Mendonça"/>
    <x v="2"/>
    <d v="2024-11-27T00:00:00"/>
    <x v="0"/>
    <n v="10"/>
    <x v="2"/>
    <s v="No"/>
    <x v="1"/>
    <s v="Yes"/>
    <n v="20"/>
    <n v="15"/>
    <n v="15"/>
  </r>
  <r>
    <n v="3507"/>
    <s v="Marcela Torres"/>
    <x v="1"/>
    <d v="2024-11-28T00:00:00"/>
    <x v="1"/>
    <n v="5"/>
    <x v="0"/>
    <s v="No"/>
    <x v="1"/>
    <s v="No"/>
    <n v="0"/>
    <n v="1"/>
    <n v="4"/>
  </r>
  <r>
    <n v="3508"/>
    <s v="Natália Castro"/>
    <x v="0"/>
    <d v="2024-11-29T00:00:00"/>
    <x v="0"/>
    <n v="15"/>
    <x v="1"/>
    <s v="Yes"/>
    <x v="0"/>
    <s v="Yes"/>
    <n v="20"/>
    <n v="3"/>
    <n v="62"/>
  </r>
  <r>
    <n v="3509"/>
    <s v="Oscar Martins"/>
    <x v="2"/>
    <d v="2024-11-30T00:00:00"/>
    <x v="1"/>
    <n v="10"/>
    <x v="0"/>
    <s v="No"/>
    <x v="1"/>
    <s v="Yes"/>
    <n v="20"/>
    <n v="10"/>
    <n v="20"/>
  </r>
  <r>
    <n v="3510"/>
    <s v="Patrícia Oliveira"/>
    <x v="1"/>
    <d v="2024-12-01T00:00:00"/>
    <x v="0"/>
    <n v="5"/>
    <x v="2"/>
    <s v="No"/>
    <x v="1"/>
    <s v="No"/>
    <n v="0"/>
    <n v="0"/>
    <n v="5"/>
  </r>
  <r>
    <n v="3511"/>
    <s v="Quentin Nogueira"/>
    <x v="0"/>
    <d v="2024-12-02T00:00:00"/>
    <x v="1"/>
    <n v="15"/>
    <x v="0"/>
    <s v="Yes"/>
    <x v="0"/>
    <s v="Yes"/>
    <n v="20"/>
    <n v="15"/>
    <n v="50"/>
  </r>
  <r>
    <n v="3512"/>
    <s v="Raquel Silva"/>
    <x v="2"/>
    <d v="2024-12-03T00:00:00"/>
    <x v="0"/>
    <n v="10"/>
    <x v="1"/>
    <s v="No"/>
    <x v="1"/>
    <s v="Yes"/>
    <n v="20"/>
    <n v="15"/>
    <n v="15"/>
  </r>
  <r>
    <n v="3513"/>
    <s v="Sandro Gomes"/>
    <x v="1"/>
    <d v="2024-12-04T00:00:00"/>
    <x v="1"/>
    <n v="5"/>
    <x v="0"/>
    <s v="No"/>
    <x v="1"/>
    <s v="No"/>
    <n v="0"/>
    <n v="1"/>
    <n v="4"/>
  </r>
  <r>
    <n v="3514"/>
    <s v="Tânia Machado"/>
    <x v="0"/>
    <d v="2024-12-05T00:00:00"/>
    <x v="0"/>
    <n v="15"/>
    <x v="2"/>
    <s v="Yes"/>
    <x v="0"/>
    <s v="Yes"/>
    <n v="20"/>
    <n v="7"/>
    <n v="58"/>
  </r>
  <r>
    <n v="3515"/>
    <s v="Ursula Silva"/>
    <x v="2"/>
    <d v="2024-12-06T00:00:00"/>
    <x v="1"/>
    <n v="10"/>
    <x v="0"/>
    <s v="No"/>
    <x v="1"/>
    <s v="Yes"/>
    <n v="20"/>
    <n v="10"/>
    <n v="20"/>
  </r>
  <r>
    <n v="3516"/>
    <s v="Vanessa Moraes"/>
    <x v="1"/>
    <d v="2024-12-07T00:00:00"/>
    <x v="0"/>
    <n v="5"/>
    <x v="1"/>
    <s v="No"/>
    <x v="1"/>
    <s v="No"/>
    <n v="0"/>
    <n v="0"/>
    <n v="5"/>
  </r>
  <r>
    <n v="3517"/>
    <s v="William Carvalho"/>
    <x v="0"/>
    <d v="2024-12-08T00:00:00"/>
    <x v="1"/>
    <n v="15"/>
    <x v="0"/>
    <s v="Yes"/>
    <x v="0"/>
    <s v="Yes"/>
    <n v="20"/>
    <n v="20"/>
    <n v="45"/>
  </r>
  <r>
    <n v="3518"/>
    <s v="Xavier Reis"/>
    <x v="2"/>
    <d v="2024-12-09T00:00:00"/>
    <x v="0"/>
    <n v="10"/>
    <x v="2"/>
    <s v="No"/>
    <x v="1"/>
    <s v="Yes"/>
    <n v="20"/>
    <n v="12"/>
    <n v="18"/>
  </r>
  <r>
    <n v="3519"/>
    <s v="Yasmin Rocha"/>
    <x v="1"/>
    <d v="2024-12-10T00:00:00"/>
    <x v="1"/>
    <n v="5"/>
    <x v="0"/>
    <s v="No"/>
    <x v="1"/>
    <s v="No"/>
    <n v="0"/>
    <n v="2"/>
    <n v="3"/>
  </r>
  <r>
    <n v="3520"/>
    <s v="Zacarias Duarte"/>
    <x v="0"/>
    <d v="2024-12-11T00:00:00"/>
    <x v="0"/>
    <n v="15"/>
    <x v="1"/>
    <s v="Yes"/>
    <x v="0"/>
    <s v="Yes"/>
    <n v="20"/>
    <n v="5"/>
    <n v="60"/>
  </r>
  <r>
    <n v="3521"/>
    <s v="Amanda Freitas"/>
    <x v="2"/>
    <d v="2024-12-12T00:00:00"/>
    <x v="1"/>
    <n v="10"/>
    <x v="0"/>
    <s v="No"/>
    <x v="1"/>
    <s v="Yes"/>
    <n v="20"/>
    <n v="10"/>
    <n v="20"/>
  </r>
  <r>
    <n v="3522"/>
    <s v="Bruno Almeida"/>
    <x v="1"/>
    <d v="2024-12-13T00:00:00"/>
    <x v="0"/>
    <n v="5"/>
    <x v="2"/>
    <s v="No"/>
    <x v="1"/>
    <s v="No"/>
    <n v="0"/>
    <n v="0"/>
    <n v="5"/>
  </r>
  <r>
    <n v="3523"/>
    <s v="Carla Siqueira"/>
    <x v="0"/>
    <d v="2024-12-14T00:00:00"/>
    <x v="1"/>
    <n v="15"/>
    <x v="0"/>
    <s v="Yes"/>
    <x v="0"/>
    <s v="Yes"/>
    <n v="20"/>
    <n v="3"/>
    <n v="62"/>
  </r>
  <r>
    <n v="3524"/>
    <s v="Diogo Ramos"/>
    <x v="2"/>
    <d v="2024-12-15T00:00:00"/>
    <x v="0"/>
    <n v="10"/>
    <x v="1"/>
    <s v="No"/>
    <x v="1"/>
    <s v="Yes"/>
    <n v="20"/>
    <n v="15"/>
    <n v="15"/>
  </r>
  <r>
    <n v="3525"/>
    <s v="Elisa Magalhães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CA528F-4D9F-4D5D-A027-8372DF90150B}" name="Tabela dinâmica3" cacheId="1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7">
  <location ref="B29:C33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1B3C6A-E3A3-4BE1-AAFC-B79F54ACD2C0}" name="tbl_ea_season_pass_total" cacheId="1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7">
  <location ref="B19:C23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_x000a_Price" fld="8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718ED9-BD98-4711-9FE6-87AF91EC307C}" name="tbl_annual_total" cacheId="1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7">
  <location ref="B10:C13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165"/>
  </dataFields>
  <formats count="1">
    <format dxfId="7">
      <pivotArea outline="0" collapsedLevelsAreSubtotals="1" fieldPosition="0"/>
    </format>
  </formats>
  <chartFormats count="3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FF01E59-C6BE-4F66-BABE-F67EBBC3C066}" sourceName="Subscription Type">
  <pivotTables>
    <pivotTable tabId="3" name="tbl_annual_total"/>
    <pivotTable tabId="3" name="tbl_ea_season_pass_total"/>
    <pivotTable tabId="3" name="Tabela dinâmica3"/>
  </pivotTables>
  <data>
    <tabular pivotCacheId="813799263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BDBE1D4A-CFC7-4465-B517-49B856764BA4}" cache="SegmentaçãodeDados_Subscription_Type" caption="Subscription Type" style="SlicerStyleLight6 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8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27"/>
    <tableColumn id="2" xr3:uid="{53DD39D0-2220-4121-9E9D-4EAA7E151C0F}" name="Name" dataDxfId="26"/>
    <tableColumn id="3" xr3:uid="{4F5FF271-4C57-4BE0-8F2C-F82C8551625C}" name="Plan" dataDxfId="25"/>
    <tableColumn id="4" xr3:uid="{8C17EB93-79B9-4E55-B8F7-BEB82F8253E9}" name="Start Date" dataDxfId="24"/>
    <tableColumn id="5" xr3:uid="{48CEDF9B-1689-482A-A828-5CCE7713264A}" name="Auto Renewal" dataDxfId="23"/>
    <tableColumn id="6" xr3:uid="{78B82374-9AA7-4E38-AE4F-78CDE6C83720}" name="Subscription Price" dataDxfId="22" dataCellStyle="Moeda"/>
    <tableColumn id="7" xr3:uid="{F2433F68-AF33-49D0-B1FB-19A396074EDE}" name="Subscription Type" dataDxfId="21"/>
    <tableColumn id="8" xr3:uid="{FD4D9C95-F6E5-4933-9068-A71FF7DF9343}" name="EA Play Season Pass" dataDxfId="20"/>
    <tableColumn id="13" xr3:uid="{978DD0D2-834E-4CE4-A39B-30976086932F}" name="EA Play Season Pass_x000a_Price" dataDxfId="19" dataCellStyle="Moeda"/>
    <tableColumn id="9" xr3:uid="{6E29F111-C395-4580-9DAD-3407D9E8B1A4}" name="Minecraft Season Pass" dataDxfId="18"/>
    <tableColumn id="10" xr3:uid="{EF544EAA-7F25-4FD5-A10E-8E62804DB9E3}" name="Minecraft Season Pass Price" dataDxfId="17" dataCellStyle="Moeda"/>
    <tableColumn id="11" xr3:uid="{7F6EB64A-1F07-4E48-9F0F-AC7D9DCD26F8}" name="Coupon Value" dataDxfId="16" dataCellStyle="Moeda"/>
    <tableColumn id="12" xr3:uid="{2B04ABC8-DE6F-426E-ADC0-D8AFC68CA58E}" name="Total Value" dataDxfId="15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7" zoomScaleNormal="100" workbookViewId="0">
      <selection activeCell="E34" sqref="E34"/>
    </sheetView>
  </sheetViews>
  <sheetFormatPr defaultRowHeight="13.8"/>
  <cols>
    <col min="9" max="9" width="3.59765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 ht="15">
      <c r="B5" s="3" t="s">
        <v>2</v>
      </c>
      <c r="C5" t="s">
        <v>8</v>
      </c>
      <c r="E5" s="7" t="s">
        <v>6</v>
      </c>
      <c r="F5" t="s">
        <v>7</v>
      </c>
    </row>
    <row r="6" spans="2:16" ht="15">
      <c r="B6" s="4" t="s">
        <v>3</v>
      </c>
      <c r="C6" t="s">
        <v>8</v>
      </c>
    </row>
    <row r="7" spans="2:16" ht="15">
      <c r="B7" s="5" t="s">
        <v>4</v>
      </c>
      <c r="C7" t="s">
        <v>9</v>
      </c>
    </row>
    <row r="8" spans="2:16" ht="15">
      <c r="B8" s="6" t="s">
        <v>5</v>
      </c>
      <c r="C8" t="s">
        <v>9</v>
      </c>
    </row>
    <row r="12" spans="2:16" ht="19.8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 ht="15">
      <c r="B14" s="2"/>
      <c r="C14" s="2"/>
      <c r="D14" s="2"/>
      <c r="E14" s="2"/>
      <c r="F14" s="2"/>
      <c r="G14" s="2"/>
      <c r="H14" s="2"/>
    </row>
    <row r="15" spans="2:16" ht="15">
      <c r="B15" s="2"/>
      <c r="C15" s="2"/>
      <c r="D15" s="2"/>
      <c r="E15" s="2"/>
      <c r="F15" s="2"/>
      <c r="G15" s="2"/>
      <c r="H15" s="2"/>
    </row>
    <row r="16" spans="2:16" ht="15">
      <c r="B16" s="2"/>
      <c r="C16" s="2"/>
      <c r="D16" s="2"/>
      <c r="E16" s="2"/>
      <c r="F16" s="2"/>
      <c r="G16" s="2"/>
      <c r="H16" s="2"/>
    </row>
    <row r="17" spans="2:8" ht="15">
      <c r="B17" s="2"/>
      <c r="C17" s="2"/>
      <c r="D17" s="2"/>
      <c r="E17" s="2"/>
      <c r="F17" s="2"/>
      <c r="G17" s="2"/>
      <c r="H17" s="2"/>
    </row>
    <row r="18" spans="2:8" ht="15">
      <c r="B18" s="2"/>
      <c r="C18" s="2"/>
      <c r="D18" s="2"/>
      <c r="E18" s="2"/>
      <c r="F18" s="2"/>
      <c r="G18" s="2"/>
      <c r="H18" s="2"/>
    </row>
    <row r="19" spans="2:8" ht="15">
      <c r="B19" s="2"/>
      <c r="C19" s="2"/>
      <c r="D19" s="2"/>
      <c r="E19" s="2"/>
      <c r="F19" s="2"/>
      <c r="G19" s="2"/>
      <c r="H19" s="2"/>
    </row>
    <row r="20" spans="2:8" ht="15">
      <c r="B20" s="2"/>
      <c r="C20" s="2"/>
      <c r="D20" s="2"/>
      <c r="E20" s="2"/>
      <c r="F20" s="2"/>
      <c r="G20" s="2"/>
      <c r="H20" s="2"/>
    </row>
    <row r="21" spans="2:8" ht="1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D2" zoomScale="90" zoomScaleNormal="90" workbookViewId="0">
      <selection activeCell="E34" sqref="E34"/>
    </sheetView>
  </sheetViews>
  <sheetFormatPr defaultRowHeight="13.8"/>
  <cols>
    <col min="1" max="1" width="17.8984375" bestFit="1" customWidth="1"/>
    <col min="2" max="2" width="18.8984375" bestFit="1" customWidth="1"/>
    <col min="3" max="3" width="9.3984375" bestFit="1" customWidth="1"/>
    <col min="4" max="4" width="14.59765625" bestFit="1" customWidth="1"/>
    <col min="5" max="5" width="18" bestFit="1" customWidth="1"/>
    <col min="6" max="6" width="14.69921875" bestFit="1" customWidth="1"/>
    <col min="7" max="7" width="22" bestFit="1" customWidth="1"/>
    <col min="8" max="8" width="20.59765625" bestFit="1" customWidth="1"/>
    <col min="9" max="9" width="20.59765625" customWidth="1"/>
    <col min="10" max="10" width="16.69921875" bestFit="1" customWidth="1"/>
    <col min="11" max="11" width="21.296875" bestFit="1" customWidth="1"/>
    <col min="12" max="12" width="12.69921875" bestFit="1" customWidth="1"/>
    <col min="13" max="13" width="10.59765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8:H34"/>
  <sheetViews>
    <sheetView showGridLines="0" topLeftCell="A7" workbookViewId="0">
      <selection activeCell="E34" sqref="E34"/>
    </sheetView>
  </sheetViews>
  <sheetFormatPr defaultRowHeight="13.8"/>
  <cols>
    <col min="2" max="2" width="17.69921875" bestFit="1" customWidth="1"/>
    <col min="3" max="3" width="34.5" bestFit="1" customWidth="1"/>
    <col min="4" max="4" width="30.59765625" bestFit="1" customWidth="1"/>
    <col min="5" max="5" width="10.69921875" bestFit="1" customWidth="1"/>
    <col min="6" max="6" width="19.09765625" bestFit="1" customWidth="1"/>
    <col min="7" max="7" width="27.69921875" bestFit="1" customWidth="1"/>
    <col min="8" max="8" width="5.3984375" customWidth="1"/>
    <col min="9" max="9" width="21.09765625" bestFit="1" customWidth="1"/>
    <col min="10" max="11" width="35.09765625" bestFit="1" customWidth="1"/>
    <col min="12" max="15" width="9.69921875" bestFit="1" customWidth="1"/>
    <col min="16" max="16" width="15.59765625" bestFit="1" customWidth="1"/>
    <col min="17" max="17" width="12.09765625" bestFit="1" customWidth="1"/>
  </cols>
  <sheetData>
    <row r="8" spans="2:8">
      <c r="B8" s="12" t="s">
        <v>16</v>
      </c>
      <c r="C8" t="s">
        <v>24</v>
      </c>
    </row>
    <row r="10" spans="2:8">
      <c r="B10" s="12" t="s">
        <v>313</v>
      </c>
      <c r="C10" t="s">
        <v>315</v>
      </c>
    </row>
    <row r="11" spans="2:8">
      <c r="B11" s="13" t="s">
        <v>23</v>
      </c>
      <c r="C11" s="14">
        <v>217</v>
      </c>
      <c r="H11" s="15"/>
    </row>
    <row r="12" spans="2:8">
      <c r="B12" s="13" t="s">
        <v>19</v>
      </c>
      <c r="C12" s="14">
        <v>1537</v>
      </c>
    </row>
    <row r="13" spans="2:8">
      <c r="B13" s="13" t="s">
        <v>314</v>
      </c>
      <c r="C13" s="14">
        <v>1754</v>
      </c>
    </row>
    <row r="17" spans="2:5">
      <c r="B17" s="12" t="s">
        <v>16</v>
      </c>
      <c r="C17" t="s">
        <v>24</v>
      </c>
    </row>
    <row r="19" spans="2:5">
      <c r="B19" s="12" t="s">
        <v>313</v>
      </c>
      <c r="C19" t="s">
        <v>317</v>
      </c>
    </row>
    <row r="20" spans="2:5">
      <c r="B20" s="13" t="s">
        <v>22</v>
      </c>
      <c r="C20" s="14">
        <v>0</v>
      </c>
    </row>
    <row r="21" spans="2:5">
      <c r="B21" s="13" t="s">
        <v>26</v>
      </c>
      <c r="C21" s="14">
        <v>0</v>
      </c>
    </row>
    <row r="22" spans="2:5">
      <c r="B22" s="13" t="s">
        <v>18</v>
      </c>
      <c r="C22" s="14">
        <v>600</v>
      </c>
    </row>
    <row r="23" spans="2:5">
      <c r="B23" s="13" t="s">
        <v>314</v>
      </c>
      <c r="C23" s="14">
        <v>600</v>
      </c>
      <c r="E23" s="14">
        <f>GETPIVOTDATA("EA Play Season Pass
Price",$B$19)</f>
        <v>600</v>
      </c>
    </row>
    <row r="27" spans="2:5">
      <c r="B27" s="12" t="s">
        <v>16</v>
      </c>
      <c r="C27" t="s">
        <v>24</v>
      </c>
    </row>
    <row r="29" spans="2:5">
      <c r="B29" s="12" t="s">
        <v>313</v>
      </c>
      <c r="C29" t="s">
        <v>318</v>
      </c>
      <c r="D29" s="12"/>
      <c r="E29" s="12"/>
    </row>
    <row r="30" spans="2:5">
      <c r="B30" s="13" t="s">
        <v>22</v>
      </c>
      <c r="C30" s="14">
        <v>0</v>
      </c>
    </row>
    <row r="31" spans="2:5">
      <c r="B31" s="13" t="s">
        <v>26</v>
      </c>
      <c r="C31" s="14">
        <v>540</v>
      </c>
    </row>
    <row r="32" spans="2:5">
      <c r="B32" s="13" t="s">
        <v>18</v>
      </c>
      <c r="C32" s="14">
        <v>400</v>
      </c>
    </row>
    <row r="33" spans="2:5">
      <c r="B33" s="13" t="s">
        <v>314</v>
      </c>
      <c r="C33" s="14">
        <v>940</v>
      </c>
    </row>
    <row r="34" spans="2:5">
      <c r="E34" s="14">
        <f>GETPIVOTDATA("Minecraft Season Pass Price",$B$29)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U201"/>
  <sheetViews>
    <sheetView showGridLines="0" showRowColHeaders="0" tabSelected="1" zoomScale="80" zoomScaleNormal="80" workbookViewId="0">
      <selection activeCell="J43" sqref="J43"/>
    </sheetView>
  </sheetViews>
  <sheetFormatPr defaultRowHeight="13.8"/>
  <cols>
    <col min="1" max="1" width="30.796875" style="17" customWidth="1"/>
    <col min="2" max="2" width="3.59765625" customWidth="1"/>
    <col min="12" max="12" width="6.59765625" customWidth="1"/>
  </cols>
  <sheetData>
    <row r="1" spans="1:21" ht="46.2" customHeight="1">
      <c r="I1" s="15"/>
    </row>
    <row r="2" spans="1:21" ht="39" customHeight="1" thickBot="1">
      <c r="C2" s="18" t="s">
        <v>316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 ht="39" customHeight="1" thickTop="1">
      <c r="C3" s="16"/>
      <c r="E3" s="15"/>
    </row>
    <row r="4" spans="1:21" s="7" customFormat="1" ht="8.25" customHeight="1">
      <c r="A4" s="17"/>
    </row>
    <row r="5" spans="1:21" s="7" customFormat="1" ht="7.5" customHeight="1">
      <c r="A5" s="17"/>
    </row>
    <row r="6" spans="1:21" s="7" customFormat="1" ht="10.5" customHeight="1">
      <c r="A6" s="17"/>
    </row>
    <row r="7" spans="1:21" s="7" customFormat="1" ht="9.75" customHeight="1">
      <c r="A7" s="17"/>
    </row>
    <row r="8" spans="1:21" s="7" customFormat="1" ht="33" customHeight="1">
      <c r="A8" s="17"/>
    </row>
    <row r="9" spans="1:21" s="7" customFormat="1">
      <c r="A9" s="17"/>
    </row>
    <row r="10" spans="1:21" s="7" customFormat="1">
      <c r="A10" s="17"/>
    </row>
    <row r="11" spans="1:21" s="7" customFormat="1">
      <c r="A11" s="17"/>
    </row>
    <row r="12" spans="1:21" s="7" customFormat="1">
      <c r="A12" s="17"/>
    </row>
    <row r="13" spans="1:21" s="7" customFormat="1">
      <c r="A13" s="17"/>
    </row>
    <row r="14" spans="1:21" s="7" customFormat="1">
      <c r="A14" s="17"/>
    </row>
    <row r="15" spans="1:21" s="7" customFormat="1">
      <c r="A15" s="17"/>
    </row>
    <row r="16" spans="1:21" s="7" customFormat="1">
      <c r="A16" s="17"/>
    </row>
    <row r="17" spans="1:1" s="7" customFormat="1">
      <c r="A17" s="17"/>
    </row>
    <row r="18" spans="1:1" s="7" customFormat="1">
      <c r="A18" s="17"/>
    </row>
    <row r="19" spans="1:1" s="7" customFormat="1">
      <c r="A19" s="17"/>
    </row>
    <row r="20" spans="1:1" s="7" customFormat="1">
      <c r="A20" s="17"/>
    </row>
    <row r="21" spans="1:1" s="7" customFormat="1">
      <c r="A21" s="17"/>
    </row>
    <row r="22" spans="1:1" s="7" customFormat="1">
      <c r="A22" s="17"/>
    </row>
    <row r="23" spans="1:1" s="7" customFormat="1">
      <c r="A23" s="17"/>
    </row>
    <row r="24" spans="1:1" s="7" customFormat="1">
      <c r="A24" s="17"/>
    </row>
    <row r="25" spans="1:1" s="7" customFormat="1">
      <c r="A25" s="17"/>
    </row>
    <row r="26" spans="1:1" s="7" customFormat="1">
      <c r="A26" s="17"/>
    </row>
    <row r="27" spans="1:1" s="7" customFormat="1">
      <c r="A27" s="17"/>
    </row>
    <row r="28" spans="1:1" s="7" customFormat="1">
      <c r="A28" s="17"/>
    </row>
    <row r="29" spans="1:1" s="7" customFormat="1">
      <c r="A29" s="17"/>
    </row>
    <row r="30" spans="1:1" s="7" customFormat="1">
      <c r="A30" s="17"/>
    </row>
    <row r="31" spans="1:1" s="7" customFormat="1">
      <c r="A31" s="17"/>
    </row>
    <row r="32" spans="1:1" s="7" customFormat="1">
      <c r="A32" s="17"/>
    </row>
    <row r="33" spans="1:3" s="7" customFormat="1">
      <c r="A33" s="17"/>
    </row>
    <row r="34" spans="1:3" s="7" customFormat="1">
      <c r="A34" s="17"/>
    </row>
    <row r="35" spans="1:3" s="7" customFormat="1">
      <c r="A35" s="17"/>
    </row>
    <row r="36" spans="1:3" s="7" customFormat="1">
      <c r="A36" s="17"/>
    </row>
    <row r="37" spans="1:3" s="7" customFormat="1">
      <c r="A37" s="17"/>
    </row>
    <row r="38" spans="1:3" s="7" customFormat="1">
      <c r="A38" s="17"/>
    </row>
    <row r="39" spans="1:3" s="7" customFormat="1">
      <c r="A39" s="17"/>
    </row>
    <row r="40" spans="1:3" s="7" customFormat="1">
      <c r="A40" s="17"/>
    </row>
    <row r="41" spans="1:3" s="7" customFormat="1">
      <c r="A41" s="17"/>
    </row>
    <row r="42" spans="1:3" s="7" customFormat="1">
      <c r="A42" s="17"/>
      <c r="C42" s="7" t="s">
        <v>319</v>
      </c>
    </row>
    <row r="43" spans="1:3" s="7" customFormat="1">
      <c r="A43" s="17"/>
    </row>
    <row r="44" spans="1:3" s="7" customFormat="1">
      <c r="A44" s="17"/>
    </row>
    <row r="45" spans="1:3" s="7" customFormat="1">
      <c r="A45" s="17"/>
    </row>
    <row r="46" spans="1:3" s="7" customFormat="1">
      <c r="A46" s="17"/>
    </row>
    <row r="47" spans="1:3" s="7" customFormat="1">
      <c r="A47" s="17"/>
    </row>
    <row r="48" spans="1:3" s="7" customFormat="1">
      <c r="A48" s="17"/>
    </row>
    <row r="49" spans="1:1" s="7" customFormat="1">
      <c r="A49" s="17"/>
    </row>
    <row r="50" spans="1:1" s="7" customFormat="1">
      <c r="A50" s="17"/>
    </row>
    <row r="51" spans="1:1" s="7" customFormat="1">
      <c r="A51" s="17"/>
    </row>
    <row r="52" spans="1:1" s="7" customFormat="1">
      <c r="A52" s="17"/>
    </row>
    <row r="53" spans="1:1" s="7" customFormat="1">
      <c r="A53" s="17"/>
    </row>
    <row r="54" spans="1:1" s="7" customFormat="1">
      <c r="A54" s="17"/>
    </row>
    <row r="55" spans="1:1" s="7" customFormat="1">
      <c r="A55" s="17"/>
    </row>
    <row r="56" spans="1:1" s="7" customFormat="1">
      <c r="A56" s="17"/>
    </row>
    <row r="57" spans="1:1" s="7" customFormat="1">
      <c r="A57" s="17"/>
    </row>
    <row r="58" spans="1:1" s="7" customFormat="1">
      <c r="A58" s="17"/>
    </row>
    <row r="59" spans="1:1" s="7" customFormat="1">
      <c r="A59" s="17"/>
    </row>
    <row r="60" spans="1:1" s="7" customFormat="1">
      <c r="A60" s="17"/>
    </row>
    <row r="61" spans="1:1" s="7" customFormat="1">
      <c r="A61" s="17"/>
    </row>
    <row r="62" spans="1:1" s="7" customFormat="1">
      <c r="A62" s="17"/>
    </row>
    <row r="63" spans="1:1" s="7" customFormat="1">
      <c r="A63" s="17"/>
    </row>
    <row r="64" spans="1:1" s="7" customFormat="1">
      <c r="A64" s="17"/>
    </row>
    <row r="65" spans="1:1" s="7" customFormat="1">
      <c r="A65" s="17"/>
    </row>
    <row r="66" spans="1:1" s="7" customFormat="1">
      <c r="A66" s="17"/>
    </row>
    <row r="67" spans="1:1" s="7" customFormat="1">
      <c r="A67" s="17"/>
    </row>
    <row r="68" spans="1:1" s="7" customFormat="1">
      <c r="A68" s="17"/>
    </row>
    <row r="69" spans="1:1" s="7" customFormat="1">
      <c r="A69" s="17"/>
    </row>
    <row r="70" spans="1:1" s="7" customFormat="1">
      <c r="A70" s="17"/>
    </row>
    <row r="71" spans="1:1" s="7" customFormat="1">
      <c r="A71" s="17"/>
    </row>
    <row r="72" spans="1:1" s="7" customFormat="1">
      <c r="A72" s="17"/>
    </row>
    <row r="73" spans="1:1" s="7" customFormat="1">
      <c r="A73" s="17"/>
    </row>
    <row r="74" spans="1:1" s="7" customFormat="1">
      <c r="A74" s="17"/>
    </row>
    <row r="75" spans="1:1" s="7" customFormat="1">
      <c r="A75" s="17"/>
    </row>
    <row r="76" spans="1:1" s="7" customFormat="1">
      <c r="A76" s="17"/>
    </row>
    <row r="77" spans="1:1" s="7" customFormat="1">
      <c r="A77" s="17"/>
    </row>
    <row r="78" spans="1:1" s="7" customFormat="1">
      <c r="A78" s="17"/>
    </row>
    <row r="79" spans="1:1" s="7" customFormat="1">
      <c r="A79" s="17"/>
    </row>
    <row r="80" spans="1:1" s="7" customFormat="1">
      <c r="A80" s="17"/>
    </row>
    <row r="81" spans="1:1" s="7" customFormat="1">
      <c r="A81" s="17"/>
    </row>
    <row r="82" spans="1:1" s="7" customFormat="1">
      <c r="A82" s="17"/>
    </row>
    <row r="83" spans="1:1" s="7" customFormat="1">
      <c r="A83" s="17"/>
    </row>
    <row r="84" spans="1:1" s="7" customFormat="1">
      <c r="A84" s="17"/>
    </row>
    <row r="85" spans="1:1" s="7" customFormat="1">
      <c r="A85" s="17"/>
    </row>
    <row r="86" spans="1:1" s="7" customFormat="1">
      <c r="A86" s="17"/>
    </row>
    <row r="87" spans="1:1" s="7" customFormat="1">
      <c r="A87" s="17"/>
    </row>
    <row r="88" spans="1:1" s="7" customFormat="1">
      <c r="A88" s="17"/>
    </row>
    <row r="89" spans="1:1" s="7" customFormat="1">
      <c r="A89" s="17"/>
    </row>
    <row r="90" spans="1:1" s="7" customFormat="1">
      <c r="A90" s="17"/>
    </row>
    <row r="91" spans="1:1" s="7" customFormat="1">
      <c r="A91" s="17"/>
    </row>
    <row r="92" spans="1:1" s="7" customFormat="1">
      <c r="A92" s="17"/>
    </row>
    <row r="93" spans="1:1" s="7" customFormat="1">
      <c r="A93" s="17"/>
    </row>
    <row r="94" spans="1:1" s="7" customFormat="1">
      <c r="A94" s="17"/>
    </row>
    <row r="95" spans="1:1" s="7" customFormat="1">
      <c r="A95" s="17"/>
    </row>
    <row r="96" spans="1:1" s="7" customFormat="1">
      <c r="A96" s="17"/>
    </row>
    <row r="97" spans="1:1" s="7" customFormat="1">
      <c r="A97" s="17"/>
    </row>
    <row r="98" spans="1:1" s="7" customFormat="1">
      <c r="A98" s="17"/>
    </row>
    <row r="99" spans="1:1" s="7" customFormat="1">
      <c r="A99" s="17"/>
    </row>
    <row r="100" spans="1:1" s="7" customFormat="1">
      <c r="A100" s="17"/>
    </row>
    <row r="101" spans="1:1" s="7" customFormat="1">
      <c r="A101" s="17"/>
    </row>
    <row r="102" spans="1:1" s="7" customFormat="1">
      <c r="A102" s="17"/>
    </row>
    <row r="103" spans="1:1" s="7" customFormat="1">
      <c r="A103" s="17"/>
    </row>
    <row r="104" spans="1:1" s="7" customFormat="1">
      <c r="A104" s="17"/>
    </row>
    <row r="105" spans="1:1" s="7" customFormat="1">
      <c r="A105" s="17"/>
    </row>
    <row r="106" spans="1:1" s="7" customFormat="1">
      <c r="A106" s="17"/>
    </row>
    <row r="107" spans="1:1" s="7" customFormat="1">
      <c r="A107" s="17"/>
    </row>
    <row r="108" spans="1:1" s="7" customFormat="1">
      <c r="A108" s="17"/>
    </row>
    <row r="109" spans="1:1" s="7" customFormat="1">
      <c r="A109" s="17"/>
    </row>
    <row r="110" spans="1:1" s="7" customFormat="1">
      <c r="A110" s="17"/>
    </row>
    <row r="111" spans="1:1" s="7" customFormat="1">
      <c r="A111" s="17"/>
    </row>
    <row r="112" spans="1:1" s="7" customFormat="1">
      <c r="A112" s="17"/>
    </row>
    <row r="113" spans="1:1" s="7" customFormat="1">
      <c r="A113" s="17"/>
    </row>
    <row r="114" spans="1:1" s="7" customFormat="1">
      <c r="A114" s="17"/>
    </row>
    <row r="115" spans="1:1" s="7" customFormat="1">
      <c r="A115" s="17"/>
    </row>
    <row r="116" spans="1:1" s="7" customFormat="1">
      <c r="A116" s="17"/>
    </row>
    <row r="117" spans="1:1" s="7" customFormat="1">
      <c r="A117" s="17"/>
    </row>
    <row r="118" spans="1:1" s="7" customFormat="1">
      <c r="A118" s="17"/>
    </row>
    <row r="119" spans="1:1" s="7" customFormat="1">
      <c r="A119" s="17"/>
    </row>
    <row r="120" spans="1:1" s="7" customFormat="1">
      <c r="A120" s="17"/>
    </row>
    <row r="121" spans="1:1" s="7" customFormat="1">
      <c r="A121" s="17"/>
    </row>
    <row r="122" spans="1:1" s="7" customFormat="1">
      <c r="A122" s="17"/>
    </row>
    <row r="123" spans="1:1" s="7" customFormat="1">
      <c r="A123" s="17"/>
    </row>
    <row r="124" spans="1:1" s="7" customFormat="1">
      <c r="A124" s="17"/>
    </row>
    <row r="125" spans="1:1" s="7" customFormat="1">
      <c r="A125" s="17"/>
    </row>
    <row r="126" spans="1:1" s="7" customFormat="1">
      <c r="A126" s="17"/>
    </row>
    <row r="127" spans="1:1" s="7" customFormat="1">
      <c r="A127" s="17"/>
    </row>
    <row r="128" spans="1:1" s="7" customFormat="1">
      <c r="A128" s="17"/>
    </row>
    <row r="129" spans="1:1" s="7" customFormat="1">
      <c r="A129" s="17"/>
    </row>
    <row r="130" spans="1:1" s="7" customFormat="1">
      <c r="A130" s="17"/>
    </row>
    <row r="131" spans="1:1" s="7" customFormat="1">
      <c r="A131" s="17"/>
    </row>
    <row r="132" spans="1:1" s="7" customFormat="1">
      <c r="A132" s="17"/>
    </row>
    <row r="133" spans="1:1" s="7" customFormat="1">
      <c r="A133" s="17"/>
    </row>
    <row r="134" spans="1:1" s="7" customFormat="1">
      <c r="A134" s="17"/>
    </row>
    <row r="135" spans="1:1" s="7" customFormat="1">
      <c r="A135" s="17"/>
    </row>
    <row r="136" spans="1:1" s="7" customFormat="1">
      <c r="A136" s="17"/>
    </row>
    <row r="137" spans="1:1" s="7" customFormat="1">
      <c r="A137" s="17"/>
    </row>
    <row r="138" spans="1:1" s="7" customFormat="1">
      <c r="A138" s="17"/>
    </row>
    <row r="139" spans="1:1" s="7" customFormat="1">
      <c r="A139" s="17"/>
    </row>
    <row r="140" spans="1:1" s="7" customFormat="1">
      <c r="A140" s="17"/>
    </row>
    <row r="141" spans="1:1" s="7" customFormat="1">
      <c r="A141" s="17"/>
    </row>
    <row r="142" spans="1:1" s="7" customFormat="1">
      <c r="A142" s="17"/>
    </row>
    <row r="143" spans="1:1" s="7" customFormat="1">
      <c r="A143" s="17"/>
    </row>
    <row r="144" spans="1:1" s="7" customFormat="1">
      <c r="A144" s="17"/>
    </row>
    <row r="145" spans="1:1" s="7" customFormat="1">
      <c r="A145" s="17"/>
    </row>
    <row r="146" spans="1:1" s="7" customFormat="1">
      <c r="A146" s="17"/>
    </row>
    <row r="147" spans="1:1" s="7" customFormat="1">
      <c r="A147" s="17"/>
    </row>
    <row r="148" spans="1:1" s="7" customFormat="1">
      <c r="A148" s="17"/>
    </row>
    <row r="149" spans="1:1" s="7" customFormat="1">
      <c r="A149" s="17"/>
    </row>
    <row r="150" spans="1:1" s="7" customFormat="1">
      <c r="A150" s="17"/>
    </row>
    <row r="151" spans="1:1" s="7" customFormat="1">
      <c r="A151" s="17"/>
    </row>
    <row r="152" spans="1:1" s="7" customFormat="1">
      <c r="A152" s="17"/>
    </row>
    <row r="153" spans="1:1" s="7" customFormat="1">
      <c r="A153" s="17"/>
    </row>
    <row r="154" spans="1:1" s="7" customFormat="1">
      <c r="A154" s="17"/>
    </row>
    <row r="155" spans="1:1" s="7" customFormat="1">
      <c r="A155" s="17"/>
    </row>
    <row r="156" spans="1:1" s="7" customFormat="1">
      <c r="A156" s="17"/>
    </row>
    <row r="157" spans="1:1" s="7" customFormat="1">
      <c r="A157" s="17"/>
    </row>
    <row r="158" spans="1:1" s="7" customFormat="1">
      <c r="A158" s="17"/>
    </row>
    <row r="159" spans="1:1" s="7" customFormat="1">
      <c r="A159" s="17"/>
    </row>
    <row r="160" spans="1:1" s="7" customFormat="1">
      <c r="A160" s="17"/>
    </row>
    <row r="161" spans="1:1" s="7" customFormat="1">
      <c r="A161" s="17"/>
    </row>
    <row r="162" spans="1:1" s="7" customFormat="1">
      <c r="A162" s="17"/>
    </row>
    <row r="163" spans="1:1" s="7" customFormat="1">
      <c r="A163" s="17"/>
    </row>
    <row r="164" spans="1:1" s="7" customFormat="1">
      <c r="A164" s="17"/>
    </row>
    <row r="165" spans="1:1" s="7" customFormat="1">
      <c r="A165" s="17"/>
    </row>
    <row r="166" spans="1:1" s="7" customFormat="1">
      <c r="A166" s="17"/>
    </row>
    <row r="167" spans="1:1" s="7" customFormat="1">
      <c r="A167" s="17"/>
    </row>
    <row r="168" spans="1:1" s="7" customFormat="1">
      <c r="A168" s="17"/>
    </row>
    <row r="169" spans="1:1" s="7" customFormat="1">
      <c r="A169" s="17"/>
    </row>
    <row r="170" spans="1:1" s="7" customFormat="1">
      <c r="A170" s="17"/>
    </row>
    <row r="171" spans="1:1" s="7" customFormat="1">
      <c r="A171" s="17"/>
    </row>
    <row r="172" spans="1:1" s="7" customFormat="1">
      <c r="A172" s="17"/>
    </row>
    <row r="173" spans="1:1" s="7" customFormat="1">
      <c r="A173" s="17"/>
    </row>
    <row r="174" spans="1:1" s="7" customFormat="1">
      <c r="A174" s="17"/>
    </row>
    <row r="175" spans="1:1" s="7" customFormat="1">
      <c r="A175" s="17"/>
    </row>
    <row r="176" spans="1:1" s="7" customFormat="1">
      <c r="A176" s="17"/>
    </row>
    <row r="177" spans="1:1" s="7" customFormat="1">
      <c r="A177" s="17"/>
    </row>
    <row r="178" spans="1:1" s="7" customFormat="1">
      <c r="A178" s="17"/>
    </row>
    <row r="179" spans="1:1" s="7" customFormat="1">
      <c r="A179" s="17"/>
    </row>
    <row r="180" spans="1:1" s="7" customFormat="1">
      <c r="A180" s="17"/>
    </row>
    <row r="181" spans="1:1" s="7" customFormat="1">
      <c r="A181" s="17"/>
    </row>
    <row r="182" spans="1:1" s="7" customFormat="1">
      <c r="A182" s="17"/>
    </row>
    <row r="183" spans="1:1" s="7" customFormat="1">
      <c r="A183" s="17"/>
    </row>
    <row r="184" spans="1:1" s="7" customFormat="1">
      <c r="A184" s="17"/>
    </row>
    <row r="185" spans="1:1" s="7" customFormat="1">
      <c r="A185" s="17"/>
    </row>
    <row r="186" spans="1:1" s="7" customFormat="1">
      <c r="A186" s="17"/>
    </row>
    <row r="187" spans="1:1" s="7" customFormat="1">
      <c r="A187" s="17"/>
    </row>
    <row r="188" spans="1:1" s="7" customFormat="1">
      <c r="A188" s="17"/>
    </row>
    <row r="189" spans="1:1" s="7" customFormat="1">
      <c r="A189" s="17"/>
    </row>
    <row r="190" spans="1:1" s="7" customFormat="1">
      <c r="A190" s="17"/>
    </row>
    <row r="191" spans="1:1" s="7" customFormat="1">
      <c r="A191" s="17"/>
    </row>
    <row r="192" spans="1:1" s="7" customFormat="1">
      <c r="A192" s="17"/>
    </row>
    <row r="193" spans="1:1" s="7" customFormat="1">
      <c r="A193" s="17"/>
    </row>
    <row r="194" spans="1:1" s="7" customFormat="1">
      <c r="A194" s="17"/>
    </row>
    <row r="195" spans="1:1" s="7" customFormat="1">
      <c r="A195" s="17"/>
    </row>
    <row r="196" spans="1:1" s="7" customFormat="1">
      <c r="A196" s="17"/>
    </row>
    <row r="197" spans="1:1" s="7" customFormat="1">
      <c r="A197" s="17"/>
    </row>
    <row r="198" spans="1:1" s="7" customFormat="1">
      <c r="A198" s="17"/>
    </row>
    <row r="199" spans="1:1" s="7" customFormat="1">
      <c r="A199" s="17"/>
    </row>
    <row r="200" spans="1:1" s="7" customFormat="1">
      <c r="A200" s="17"/>
    </row>
    <row r="201" spans="1:1" s="7" customFormat="1">
      <c r="A201" s="17"/>
    </row>
  </sheetData>
  <mergeCells count="1">
    <mergeCell ref="C2:U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  <ds:schemaRef ds:uri="19483571-f922-4e8e-9c1c-26f0a2252132"/>
    <ds:schemaRef ds:uri="http://schemas.microsoft.com/office/infopath/2007/PartnerControls"/>
    <ds:schemaRef ds:uri="851b35d3-0456-4d6a-bc2f-da927e91d158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André Ucci</cp:lastModifiedBy>
  <dcterms:created xsi:type="dcterms:W3CDTF">2024-12-19T13:13:10Z</dcterms:created>
  <dcterms:modified xsi:type="dcterms:W3CDTF">2026-05-17T22:41:17Z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